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SNI\OneDrive\Documents\EXCEL DM70\FIRST ASSIGNMENT\"/>
    </mc:Choice>
  </mc:AlternateContent>
  <xr:revisionPtr revIDLastSave="0" documentId="13_ncr:1_{06C1B8C6-4BEE-4469-97F5-BA6FFA4931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Dataset!$A$2:$F$39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E40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" i="2"/>
  <c r="E55" i="2"/>
  <c r="B52" i="2"/>
  <c r="B51" i="2"/>
  <c r="B50" i="2"/>
  <c r="B49" i="2"/>
  <c r="B48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" i="2"/>
  <c r="E43" i="2"/>
  <c r="E4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C52" i="2" s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" i="2"/>
  <c r="C49" i="2" l="1"/>
  <c r="C48" i="2"/>
  <c r="C50" i="2"/>
  <c r="C51" i="2"/>
  <c r="G37" i="2"/>
  <c r="E38" i="2"/>
  <c r="G39" i="2" s="1"/>
</calcChain>
</file>

<file path=xl/sharedStrings.xml><?xml version="1.0" encoding="utf-8"?>
<sst xmlns="http://schemas.openxmlformats.org/spreadsheetml/2006/main" count="180" uniqueCount="124">
  <si>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</si>
  <si>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</si>
  <si>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</si>
  <si>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</si>
  <si>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</si>
  <si>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</si>
  <si>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</si>
  <si>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</si>
  <si>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</si>
  <si>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</si>
  <si>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</si>
  <si>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</si>
  <si>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</si>
  <si>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</si>
  <si>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</si>
  <si>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</si>
  <si>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</si>
  <si>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</si>
  <si>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</si>
  <si>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</si>
  <si>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</si>
  <si>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</si>
  <si>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</si>
  <si>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</si>
  <si>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</si>
  <si>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</si>
  <si>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</si>
  <si>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</si>
  <si>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</si>
  <si>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</si>
  <si>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</si>
  <si>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</si>
  <si>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</si>
  <si>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</si>
  <si>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</si>
  <si>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</si>
  <si>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</si>
  <si>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</si>
  <si>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</si>
  <si>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</si>
  <si>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</si>
  <si>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</si>
  <si>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</si>
  <si>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</si>
  <si>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</si>
  <si>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</si>
  <si>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</si>
  <si>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</si>
  <si>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</si>
  <si>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</si>
  <si>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</si>
  <si>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</si>
  <si>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</si>
  <si>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</si>
  <si>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</si>
  <si>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</si>
  <si>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</si>
  <si>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</si>
  <si>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</si>
  <si>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</si>
  <si>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</si>
  <si>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</si>
  <si>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</si>
  <si>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</si>
  <si>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</si>
  <si>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</si>
  <si>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</si>
  <si>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</si>
  <si>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</si>
  <si>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</si>
  <si>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</si>
  <si>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</si>
  <si>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</si>
  <si>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</si>
  <si>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</si>
  <si>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</si>
  <si>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</si>
  <si>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</si>
  <si>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</si>
  <si>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</si>
  <si>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</si>
  <si>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</si>
  <si>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</si>
  <si>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</si>
  <si>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</si>
  <si>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</si>
  <si>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</si>
  <si>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</si>
  <si>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</si>
  <si>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</si>
  <si>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</si>
  <si>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</si>
  <si>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</si>
  <si>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</si>
  <si>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</si>
  <si>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</si>
  <si>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</si>
  <si>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</si>
  <si>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</si>
  <si>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</si>
  <si>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</si>
  <si>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</si>
  <si>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</si>
  <si>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</si>
  <si>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</si>
  <si>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</si>
  <si>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</si>
  <si>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</si>
  <si>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</si>
  <si>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</si>
  <si>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</t>
  </si>
  <si>
    <t>AVERAGE</t>
  </si>
  <si>
    <t>The max price among all product is Laptop</t>
  </si>
  <si>
    <t xml:space="preserve">The min price  among all products is t shirt  </t>
  </si>
  <si>
    <t>Price Range</t>
  </si>
  <si>
    <t>Total Quantity</t>
  </si>
  <si>
    <t>Total price</t>
  </si>
  <si>
    <t>The count of  products with a price  less than100$</t>
  </si>
  <si>
    <t xml:space="preserve"> Country Code</t>
  </si>
  <si>
    <t xml:space="preserve">Day </t>
  </si>
  <si>
    <t>Month</t>
  </si>
  <si>
    <t>Total</t>
  </si>
  <si>
    <t>Count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</si>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</sst>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theme="5" tint="-0.499984740745262"/>
      <name val="Arial"/>
      <family val="2"/>
      <scheme val="minor"/>
    </font>
    <font>
      <b/>
      <sz val="10"/>
      <color theme="5" tint="-0.499984740745262"/>
      <name val="Arial"/>
      <family val="2"/>
    </font>
    <font>
      <sz val="22"/>
      <color rgb="FF000000"/>
      <name val="Arial"/>
      <family val="2"/>
      <scheme val="minor"/>
    </font>
    <font>
      <sz val="20"/>
      <color rgb="FF002060"/>
      <name val="Arial Black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E0F7FA"/>
      </patternFill>
    </fill>
    <fill>
      <patternFill patternType="solid">
        <fgColor rgb="FFFFFF00"/>
        <bgColor rgb="FF4DD0E1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E0F7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0" fillId="0" borderId="0" xfId="0" applyFont="1" applyBorder="1"/>
    <xf numFmtId="0" fontId="13" fillId="2" borderId="1" xfId="0" applyFont="1" applyFill="1" applyBorder="1"/>
    <xf numFmtId="0" fontId="14" fillId="2" borderId="1" xfId="0" applyFont="1" applyFill="1" applyBorder="1"/>
    <xf numFmtId="0" fontId="0" fillId="2" borderId="1" xfId="0" applyFill="1" applyBorder="1"/>
    <xf numFmtId="0" fontId="14" fillId="3" borderId="1" xfId="0" applyFont="1" applyFill="1" applyBorder="1"/>
    <xf numFmtId="0" fontId="5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5" borderId="5" xfId="0" applyFill="1" applyBorder="1"/>
    <xf numFmtId="0" fontId="0" fillId="5" borderId="3" xfId="0" applyFill="1" applyBorder="1"/>
    <xf numFmtId="0" fontId="11" fillId="5" borderId="6" xfId="0" applyFont="1" applyFill="1" applyBorder="1"/>
    <xf numFmtId="0" fontId="0" fillId="5" borderId="7" xfId="0" applyFill="1" applyBorder="1"/>
    <xf numFmtId="0" fontId="0" fillId="5" borderId="8" xfId="0" applyFill="1" applyBorder="1"/>
    <xf numFmtId="0" fontId="12" fillId="5" borderId="2" xfId="0" applyFont="1" applyFill="1" applyBorder="1"/>
    <xf numFmtId="0" fontId="6" fillId="7" borderId="4" xfId="0" applyFont="1" applyFill="1" applyBorder="1"/>
    <xf numFmtId="0" fontId="6" fillId="7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0" fillId="8" borderId="4" xfId="0" applyFill="1" applyBorder="1"/>
    <xf numFmtId="0" fontId="0" fillId="8" borderId="4" xfId="0" applyFill="1" applyBorder="1" applyAlignment="1">
      <alignment horizontal="center"/>
    </xf>
    <xf numFmtId="0" fontId="12" fillId="5" borderId="6" xfId="0" applyFont="1" applyFill="1" applyBorder="1"/>
    <xf numFmtId="0" fontId="8" fillId="5" borderId="7" xfId="0" applyFont="1" applyFill="1" applyBorder="1"/>
    <xf numFmtId="0" fontId="8" fillId="5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2" fontId="10" fillId="5" borderId="5" xfId="0" applyNumberFormat="1" applyFont="1" applyFill="1" applyBorder="1" applyAlignment="1">
      <alignment horizontal="center"/>
    </xf>
    <xf numFmtId="0" fontId="9" fillId="9" borderId="2" xfId="0" applyFont="1" applyFill="1" applyBorder="1"/>
    <xf numFmtId="0" fontId="0" fillId="9" borderId="5" xfId="0" applyFill="1" applyBorder="1"/>
    <xf numFmtId="0" fontId="0" fillId="9" borderId="3" xfId="0" applyFill="1" applyBorder="1"/>
    <xf numFmtId="0" fontId="11" fillId="9" borderId="1" xfId="0" applyFont="1" applyFill="1" applyBorder="1"/>
    <xf numFmtId="0" fontId="0" fillId="9" borderId="3" xfId="0" applyFill="1" applyBorder="1"/>
    <xf numFmtId="0" fontId="15" fillId="0" borderId="0" xfId="0" applyFont="1"/>
    <xf numFmtId="0" fontId="16" fillId="1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9" workbookViewId="0">
      <selection activeCell="C21" sqref="C2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2"/>
  <sheetViews>
    <sheetView tabSelected="1" topLeftCell="A36" workbookViewId="0">
      <selection activeCell="K34" sqref="K34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8" max="8" width="19.5546875" customWidth="1"/>
    <col min="9" max="9" width="11.88671875" customWidth="1"/>
    <col min="10" max="10" width="13.77734375" customWidth="1"/>
    <col min="11" max="11" width="14.44140625" customWidth="1"/>
  </cols>
  <sheetData>
    <row r="1" spans="1:15" ht="30" customHeight="1" x14ac:dyDescent="0.7">
      <c r="A1" s="43" t="s">
        <v>123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5" ht="29.4" customHeight="1" x14ac:dyDescent="0.25">
      <c r="A2" s="10" t="s">
        <v>17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22</v>
      </c>
      <c r="G2" s="17" t="s">
        <v>121</v>
      </c>
      <c r="H2" s="11" t="s">
        <v>114</v>
      </c>
      <c r="I2" s="12" t="s">
        <v>119</v>
      </c>
      <c r="J2" s="11" t="s">
        <v>118</v>
      </c>
      <c r="K2" s="11" t="s">
        <v>120</v>
      </c>
    </row>
    <row r="3" spans="1:15" ht="15.75" customHeight="1" x14ac:dyDescent="0.25">
      <c r="A3" s="13" t="s">
        <v>23</v>
      </c>
      <c r="B3" s="13" t="s">
        <v>24</v>
      </c>
      <c r="C3" s="13" t="s">
        <v>25</v>
      </c>
      <c r="D3" s="14">
        <v>1000</v>
      </c>
      <c r="E3" s="14">
        <v>30</v>
      </c>
      <c r="F3" s="13" t="s">
        <v>26</v>
      </c>
      <c r="G3" s="18">
        <f>D3*30</f>
        <v>30000</v>
      </c>
      <c r="H3" s="19" t="str">
        <f>IF(D3&gt;=500,"HIGH PRICE","STANDARD PRICE")</f>
        <v>HIGH PRICE</v>
      </c>
      <c r="I3" s="20" t="str">
        <f>LEFT(A3,2)</f>
        <v>28</v>
      </c>
      <c r="J3" s="20" t="str">
        <f>RIGHT(A3,2)</f>
        <v>US</v>
      </c>
      <c r="K3" s="20" t="str">
        <f>MID(A3,4,3)</f>
        <v>JAN</v>
      </c>
    </row>
    <row r="4" spans="1:15" ht="15.75" customHeight="1" x14ac:dyDescent="0.25">
      <c r="A4" s="15" t="s">
        <v>27</v>
      </c>
      <c r="B4" s="15" t="s">
        <v>28</v>
      </c>
      <c r="C4" s="15" t="s">
        <v>29</v>
      </c>
      <c r="D4" s="16">
        <v>80</v>
      </c>
      <c r="E4" s="16">
        <v>15</v>
      </c>
      <c r="F4" s="15" t="s">
        <v>30</v>
      </c>
      <c r="G4" s="18">
        <f t="shared" ref="G4:G36" si="0">D4*30</f>
        <v>2400</v>
      </c>
      <c r="H4" s="19" t="str">
        <f t="shared" ref="H4:H36" si="1">IF(D4&gt;=500,"HIGH PRICE","STANDARD PRICE")</f>
        <v>STANDARD PRICE</v>
      </c>
      <c r="I4" s="20" t="str">
        <f t="shared" ref="I4:I36" si="2">LEFT(A4,2)</f>
        <v>15</v>
      </c>
      <c r="J4" s="20" t="str">
        <f t="shared" ref="J4:J36" si="3">RIGHT(A4,2)</f>
        <v>US</v>
      </c>
      <c r="K4" s="20" t="str">
        <f t="shared" ref="K4:K36" si="4">MID(A4,4,3)</f>
        <v>FEB</v>
      </c>
    </row>
    <row r="5" spans="1:15" ht="15.75" customHeight="1" x14ac:dyDescent="0.25">
      <c r="A5" s="13" t="s">
        <v>31</v>
      </c>
      <c r="B5" s="13" t="s">
        <v>32</v>
      </c>
      <c r="C5" s="13" t="s">
        <v>33</v>
      </c>
      <c r="D5" s="14">
        <v>130</v>
      </c>
      <c r="E5" s="14">
        <v>40</v>
      </c>
      <c r="F5" s="13" t="s">
        <v>34</v>
      </c>
      <c r="G5" s="18">
        <f t="shared" si="0"/>
        <v>3900</v>
      </c>
      <c r="H5" s="19" t="str">
        <f t="shared" si="1"/>
        <v>STANDARD PRICE</v>
      </c>
      <c r="I5" s="20" t="str">
        <f t="shared" si="2"/>
        <v>03</v>
      </c>
      <c r="J5" s="20" t="str">
        <f t="shared" si="3"/>
        <v>US</v>
      </c>
      <c r="K5" s="20" t="str">
        <f t="shared" si="4"/>
        <v>MAR</v>
      </c>
    </row>
    <row r="6" spans="1:15" ht="15.75" customHeight="1" x14ac:dyDescent="0.25">
      <c r="A6" s="15" t="s">
        <v>35</v>
      </c>
      <c r="B6" s="15" t="s">
        <v>36</v>
      </c>
      <c r="C6" s="15" t="s">
        <v>37</v>
      </c>
      <c r="D6" s="16">
        <v>900</v>
      </c>
      <c r="E6" s="16">
        <v>25</v>
      </c>
      <c r="F6" s="15" t="s">
        <v>26</v>
      </c>
      <c r="G6" s="18">
        <f t="shared" si="0"/>
        <v>27000</v>
      </c>
      <c r="H6" s="19" t="str">
        <f t="shared" si="1"/>
        <v>HIGH PRICE</v>
      </c>
      <c r="I6" s="20" t="str">
        <f t="shared" si="2"/>
        <v>11</v>
      </c>
      <c r="J6" s="20" t="str">
        <f t="shared" si="3"/>
        <v>US</v>
      </c>
      <c r="K6" s="20" t="str">
        <f t="shared" si="4"/>
        <v>APR</v>
      </c>
    </row>
    <row r="7" spans="1:15" ht="15.75" customHeight="1" x14ac:dyDescent="0.25">
      <c r="A7" s="13" t="s">
        <v>38</v>
      </c>
      <c r="B7" s="13" t="s">
        <v>39</v>
      </c>
      <c r="C7" s="13" t="s">
        <v>40</v>
      </c>
      <c r="D7" s="14">
        <v>70</v>
      </c>
      <c r="E7" s="14">
        <v>20</v>
      </c>
      <c r="F7" s="13" t="s">
        <v>41</v>
      </c>
      <c r="G7" s="18">
        <f t="shared" si="0"/>
        <v>2100</v>
      </c>
      <c r="H7" s="19" t="str">
        <f t="shared" si="1"/>
        <v>STANDARD PRICE</v>
      </c>
      <c r="I7" s="20" t="str">
        <f t="shared" si="2"/>
        <v>22</v>
      </c>
      <c r="J7" s="20" t="str">
        <f t="shared" si="3"/>
        <v>US</v>
      </c>
      <c r="K7" s="20" t="str">
        <f t="shared" si="4"/>
        <v>MAY</v>
      </c>
    </row>
    <row r="8" spans="1:15" ht="15.75" customHeight="1" x14ac:dyDescent="0.25">
      <c r="A8" s="15" t="s">
        <v>42</v>
      </c>
      <c r="B8" s="15" t="s">
        <v>43</v>
      </c>
      <c r="C8" s="15" t="s">
        <v>44</v>
      </c>
      <c r="D8" s="16">
        <v>200</v>
      </c>
      <c r="E8" s="16">
        <v>45</v>
      </c>
      <c r="F8" s="15" t="s">
        <v>26</v>
      </c>
      <c r="G8" s="18">
        <f t="shared" si="0"/>
        <v>6000</v>
      </c>
      <c r="H8" s="19" t="str">
        <f t="shared" si="1"/>
        <v>STANDARD PRICE</v>
      </c>
      <c r="I8" s="20" t="str">
        <f t="shared" si="2"/>
        <v>07</v>
      </c>
      <c r="J8" s="20" t="str">
        <f t="shared" si="3"/>
        <v>UK</v>
      </c>
      <c r="K8" s="20" t="str">
        <f t="shared" si="4"/>
        <v>JUN</v>
      </c>
    </row>
    <row r="9" spans="1:15" ht="15.75" customHeight="1" x14ac:dyDescent="0.25">
      <c r="A9" s="13" t="s">
        <v>45</v>
      </c>
      <c r="B9" s="13" t="s">
        <v>46</v>
      </c>
      <c r="C9" s="13" t="s">
        <v>47</v>
      </c>
      <c r="D9" s="14">
        <v>30</v>
      </c>
      <c r="E9" s="14">
        <v>5</v>
      </c>
      <c r="F9" s="13" t="s">
        <v>30</v>
      </c>
      <c r="G9" s="18">
        <f t="shared" si="0"/>
        <v>900</v>
      </c>
      <c r="H9" s="19" t="str">
        <f t="shared" si="1"/>
        <v>STANDARD PRICE</v>
      </c>
      <c r="I9" s="20" t="str">
        <f t="shared" si="2"/>
        <v>19</v>
      </c>
      <c r="J9" s="20" t="str">
        <f t="shared" si="3"/>
        <v>UK</v>
      </c>
      <c r="K9" s="20" t="str">
        <f t="shared" si="4"/>
        <v>JUL</v>
      </c>
    </row>
    <row r="10" spans="1:15" ht="15.75" customHeight="1" x14ac:dyDescent="0.25">
      <c r="A10" s="15" t="s">
        <v>48</v>
      </c>
      <c r="B10" s="15" t="s">
        <v>49</v>
      </c>
      <c r="C10" s="15" t="s">
        <v>50</v>
      </c>
      <c r="D10" s="16">
        <v>90</v>
      </c>
      <c r="E10" s="16">
        <v>35</v>
      </c>
      <c r="F10" s="15" t="s">
        <v>34</v>
      </c>
      <c r="G10" s="18">
        <f t="shared" si="0"/>
        <v>2700</v>
      </c>
      <c r="H10" s="19" t="str">
        <f t="shared" si="1"/>
        <v>STANDARD PRICE</v>
      </c>
      <c r="I10" s="20" t="str">
        <f t="shared" si="2"/>
        <v>23</v>
      </c>
      <c r="J10" s="20" t="str">
        <f t="shared" si="3"/>
        <v>UK</v>
      </c>
      <c r="K10" s="20" t="str">
        <f t="shared" si="4"/>
        <v>AUG</v>
      </c>
    </row>
    <row r="11" spans="1:15" ht="15.75" customHeight="1" x14ac:dyDescent="0.25">
      <c r="A11" s="13" t="s">
        <v>51</v>
      </c>
      <c r="B11" s="13" t="s">
        <v>52</v>
      </c>
      <c r="C11" s="13" t="s">
        <v>53</v>
      </c>
      <c r="D11" s="14">
        <v>500</v>
      </c>
      <c r="E11" s="14">
        <v>50</v>
      </c>
      <c r="F11" s="13" t="s">
        <v>26</v>
      </c>
      <c r="G11" s="18">
        <f t="shared" si="0"/>
        <v>15000</v>
      </c>
      <c r="H11" s="19" t="str">
        <f t="shared" si="1"/>
        <v>HIGH PRICE</v>
      </c>
      <c r="I11" s="20" t="str">
        <f t="shared" si="2"/>
        <v>05</v>
      </c>
      <c r="J11" s="20" t="str">
        <f t="shared" si="3"/>
        <v>UK</v>
      </c>
      <c r="K11" s="20" t="str">
        <f t="shared" si="4"/>
        <v>SEP</v>
      </c>
    </row>
    <row r="12" spans="1:15" ht="15.75" customHeight="1" x14ac:dyDescent="0.25">
      <c r="A12" s="15" t="s">
        <v>54</v>
      </c>
      <c r="B12" s="15" t="s">
        <v>55</v>
      </c>
      <c r="C12" s="15" t="s">
        <v>56</v>
      </c>
      <c r="D12" s="16">
        <v>130</v>
      </c>
      <c r="E12" s="16">
        <v>10</v>
      </c>
      <c r="F12" s="15" t="s">
        <v>41</v>
      </c>
      <c r="G12" s="18">
        <f t="shared" si="0"/>
        <v>3900</v>
      </c>
      <c r="H12" s="19" t="str">
        <f t="shared" si="1"/>
        <v>STANDARD PRICE</v>
      </c>
      <c r="I12" s="20" t="str">
        <f t="shared" si="2"/>
        <v>14</v>
      </c>
      <c r="J12" s="20" t="str">
        <f t="shared" si="3"/>
        <v>UK</v>
      </c>
      <c r="K12" s="20" t="str">
        <f t="shared" si="4"/>
        <v>OCT</v>
      </c>
    </row>
    <row r="13" spans="1:15" ht="15.75" customHeight="1" x14ac:dyDescent="0.45">
      <c r="A13" s="13" t="s">
        <v>57</v>
      </c>
      <c r="B13" s="13" t="s">
        <v>24</v>
      </c>
      <c r="C13" s="13" t="s">
        <v>58</v>
      </c>
      <c r="D13" s="14">
        <v>950</v>
      </c>
      <c r="E13" s="14">
        <v>25</v>
      </c>
      <c r="F13" s="13" t="s">
        <v>26</v>
      </c>
      <c r="G13" s="18">
        <f t="shared" si="0"/>
        <v>28500</v>
      </c>
      <c r="H13" s="19" t="str">
        <f t="shared" si="1"/>
        <v>HIGH PRICE</v>
      </c>
      <c r="I13" s="20" t="str">
        <f t="shared" si="2"/>
        <v>17</v>
      </c>
      <c r="J13" s="20" t="str">
        <f t="shared" si="3"/>
        <v>IN</v>
      </c>
      <c r="K13" s="20" t="str">
        <f t="shared" si="4"/>
        <v>JUN</v>
      </c>
      <c r="O13" s="42"/>
    </row>
    <row r="14" spans="1:15" ht="15.75" customHeight="1" x14ac:dyDescent="0.25">
      <c r="A14" s="15" t="s">
        <v>59</v>
      </c>
      <c r="B14" s="15" t="s">
        <v>28</v>
      </c>
      <c r="C14" s="15" t="s">
        <v>47</v>
      </c>
      <c r="D14" s="16">
        <v>90</v>
      </c>
      <c r="E14" s="16">
        <v>40</v>
      </c>
      <c r="F14" s="15" t="s">
        <v>30</v>
      </c>
      <c r="G14" s="18">
        <f t="shared" si="0"/>
        <v>2700</v>
      </c>
      <c r="H14" s="19" t="str">
        <f t="shared" si="1"/>
        <v>STANDARD PRICE</v>
      </c>
      <c r="I14" s="20" t="str">
        <f t="shared" si="2"/>
        <v>25</v>
      </c>
      <c r="J14" s="20" t="str">
        <f t="shared" si="3"/>
        <v>AU</v>
      </c>
      <c r="K14" s="20" t="str">
        <f t="shared" si="4"/>
        <v>NOV</v>
      </c>
    </row>
    <row r="15" spans="1:15" ht="15.75" customHeight="1" x14ac:dyDescent="0.25">
      <c r="A15" s="13" t="s">
        <v>60</v>
      </c>
      <c r="B15" s="13" t="s">
        <v>32</v>
      </c>
      <c r="C15" s="13" t="s">
        <v>61</v>
      </c>
      <c r="D15" s="14">
        <v>120</v>
      </c>
      <c r="E15" s="14">
        <v>35</v>
      </c>
      <c r="F15" s="13" t="s">
        <v>34</v>
      </c>
      <c r="G15" s="18">
        <f t="shared" si="0"/>
        <v>3600</v>
      </c>
      <c r="H15" s="19" t="str">
        <f t="shared" si="1"/>
        <v>STANDARD PRICE</v>
      </c>
      <c r="I15" s="20" t="str">
        <f t="shared" si="2"/>
        <v>08</v>
      </c>
      <c r="J15" s="20" t="str">
        <f t="shared" si="3"/>
        <v>DE</v>
      </c>
      <c r="K15" s="20" t="str">
        <f t="shared" si="4"/>
        <v>DEC</v>
      </c>
    </row>
    <row r="16" spans="1:15" ht="15.75" customHeight="1" x14ac:dyDescent="0.25">
      <c r="A16" s="15" t="s">
        <v>62</v>
      </c>
      <c r="B16" s="15" t="s">
        <v>63</v>
      </c>
      <c r="C16" s="15" t="s">
        <v>64</v>
      </c>
      <c r="D16" s="16">
        <v>150</v>
      </c>
      <c r="E16" s="16">
        <v>15</v>
      </c>
      <c r="F16" s="15" t="s">
        <v>26</v>
      </c>
      <c r="G16" s="18">
        <f t="shared" si="0"/>
        <v>4500</v>
      </c>
      <c r="H16" s="19" t="str">
        <f t="shared" si="1"/>
        <v>STANDARD PRICE</v>
      </c>
      <c r="I16" s="20" t="str">
        <f t="shared" si="2"/>
        <v>18</v>
      </c>
      <c r="J16" s="20" t="str">
        <f t="shared" si="3"/>
        <v>CA</v>
      </c>
      <c r="K16" s="20" t="str">
        <f t="shared" si="4"/>
        <v>FEB</v>
      </c>
    </row>
    <row r="17" spans="1:11" ht="15.75" customHeight="1" x14ac:dyDescent="0.25">
      <c r="A17" s="13" t="s">
        <v>65</v>
      </c>
      <c r="B17" s="13" t="s">
        <v>43</v>
      </c>
      <c r="C17" s="13" t="s">
        <v>66</v>
      </c>
      <c r="D17" s="14">
        <v>250</v>
      </c>
      <c r="E17" s="14">
        <v>20</v>
      </c>
      <c r="F17" s="13" t="s">
        <v>26</v>
      </c>
      <c r="G17" s="18">
        <f t="shared" si="0"/>
        <v>7500</v>
      </c>
      <c r="H17" s="19" t="str">
        <f t="shared" si="1"/>
        <v>STANDARD PRICE</v>
      </c>
      <c r="I17" s="20" t="str">
        <f t="shared" si="2"/>
        <v>16</v>
      </c>
      <c r="J17" s="20" t="str">
        <f t="shared" si="3"/>
        <v>ES</v>
      </c>
      <c r="K17" s="20" t="str">
        <f t="shared" si="4"/>
        <v>APR</v>
      </c>
    </row>
    <row r="18" spans="1:11" ht="15.75" customHeight="1" x14ac:dyDescent="0.25">
      <c r="A18" s="15" t="s">
        <v>67</v>
      </c>
      <c r="B18" s="15" t="s">
        <v>68</v>
      </c>
      <c r="C18" s="15" t="s">
        <v>69</v>
      </c>
      <c r="D18" s="16">
        <v>50</v>
      </c>
      <c r="E18" s="16">
        <v>35</v>
      </c>
      <c r="F18" s="15" t="s">
        <v>70</v>
      </c>
      <c r="G18" s="18">
        <f t="shared" si="0"/>
        <v>1500</v>
      </c>
      <c r="H18" s="19" t="str">
        <f t="shared" si="1"/>
        <v>STANDARD PRICE</v>
      </c>
      <c r="I18" s="20" t="str">
        <f t="shared" si="2"/>
        <v>21</v>
      </c>
      <c r="J18" s="20" t="str">
        <f t="shared" si="3"/>
        <v>CA</v>
      </c>
      <c r="K18" s="20" t="str">
        <f t="shared" si="4"/>
        <v>AUG</v>
      </c>
    </row>
    <row r="19" spans="1:11" ht="15.75" customHeight="1" x14ac:dyDescent="0.25">
      <c r="A19" s="13" t="s">
        <v>71</v>
      </c>
      <c r="B19" s="13" t="s">
        <v>63</v>
      </c>
      <c r="C19" s="13" t="s">
        <v>72</v>
      </c>
      <c r="D19" s="14">
        <v>160</v>
      </c>
      <c r="E19" s="14">
        <v>15</v>
      </c>
      <c r="F19" s="13" t="s">
        <v>26</v>
      </c>
      <c r="G19" s="18">
        <f t="shared" si="0"/>
        <v>4800</v>
      </c>
      <c r="H19" s="19" t="str">
        <f t="shared" si="1"/>
        <v>STANDARD PRICE</v>
      </c>
      <c r="I19" s="20" t="str">
        <f t="shared" si="2"/>
        <v>20</v>
      </c>
      <c r="J19" s="20" t="str">
        <f t="shared" si="3"/>
        <v>CN</v>
      </c>
      <c r="K19" s="20" t="str">
        <f t="shared" si="4"/>
        <v>AUG</v>
      </c>
    </row>
    <row r="20" spans="1:11" ht="15.75" customHeight="1" x14ac:dyDescent="0.25">
      <c r="A20" s="15" t="s">
        <v>73</v>
      </c>
      <c r="B20" s="15" t="s">
        <v>24</v>
      </c>
      <c r="C20" s="15" t="s">
        <v>74</v>
      </c>
      <c r="D20" s="16">
        <v>980</v>
      </c>
      <c r="E20" s="16">
        <v>10</v>
      </c>
      <c r="F20" s="15" t="s">
        <v>26</v>
      </c>
      <c r="G20" s="18">
        <f t="shared" si="0"/>
        <v>29400</v>
      </c>
      <c r="H20" s="19" t="str">
        <f t="shared" si="1"/>
        <v>HIGH PRICE</v>
      </c>
      <c r="I20" s="20" t="str">
        <f t="shared" si="2"/>
        <v>27</v>
      </c>
      <c r="J20" s="20" t="str">
        <f t="shared" si="3"/>
        <v>IT</v>
      </c>
      <c r="K20" s="20" t="str">
        <f t="shared" si="4"/>
        <v>JAN</v>
      </c>
    </row>
    <row r="21" spans="1:11" ht="15.75" customHeight="1" x14ac:dyDescent="0.25">
      <c r="A21" s="13" t="s">
        <v>75</v>
      </c>
      <c r="B21" s="13" t="s">
        <v>76</v>
      </c>
      <c r="C21" s="13" t="s">
        <v>77</v>
      </c>
      <c r="D21" s="14">
        <v>150</v>
      </c>
      <c r="E21" s="14">
        <v>15</v>
      </c>
      <c r="F21" s="13" t="s">
        <v>30</v>
      </c>
      <c r="G21" s="18">
        <f t="shared" si="0"/>
        <v>4500</v>
      </c>
      <c r="H21" s="19" t="str">
        <f t="shared" si="1"/>
        <v>STANDARD PRICE</v>
      </c>
      <c r="I21" s="20" t="str">
        <f t="shared" si="2"/>
        <v>01</v>
      </c>
      <c r="J21" s="20" t="str">
        <f t="shared" si="3"/>
        <v>UK</v>
      </c>
      <c r="K21" s="20" t="str">
        <f t="shared" si="4"/>
        <v>MAR</v>
      </c>
    </row>
    <row r="22" spans="1:11" ht="15.75" customHeight="1" x14ac:dyDescent="0.25">
      <c r="A22" s="15" t="s">
        <v>78</v>
      </c>
      <c r="B22" s="15" t="s">
        <v>79</v>
      </c>
      <c r="C22" s="15" t="s">
        <v>80</v>
      </c>
      <c r="D22" s="16">
        <v>200</v>
      </c>
      <c r="E22" s="16">
        <v>10</v>
      </c>
      <c r="F22" s="15" t="s">
        <v>41</v>
      </c>
      <c r="G22" s="18">
        <f t="shared" si="0"/>
        <v>6000</v>
      </c>
      <c r="H22" s="19" t="str">
        <f t="shared" si="1"/>
        <v>STANDARD PRICE</v>
      </c>
      <c r="I22" s="20" t="str">
        <f t="shared" si="2"/>
        <v>14</v>
      </c>
      <c r="J22" s="20" t="str">
        <f t="shared" si="3"/>
        <v>US</v>
      </c>
      <c r="K22" s="20" t="str">
        <f t="shared" si="4"/>
        <v>AUG</v>
      </c>
    </row>
    <row r="23" spans="1:11" ht="15.75" customHeight="1" x14ac:dyDescent="0.25">
      <c r="A23" s="13" t="s">
        <v>81</v>
      </c>
      <c r="B23" s="13" t="s">
        <v>82</v>
      </c>
      <c r="C23" s="13" t="s">
        <v>83</v>
      </c>
      <c r="D23" s="14">
        <v>700</v>
      </c>
      <c r="E23" s="14">
        <v>50</v>
      </c>
      <c r="F23" s="13" t="s">
        <v>26</v>
      </c>
      <c r="G23" s="18">
        <f t="shared" si="0"/>
        <v>21000</v>
      </c>
      <c r="H23" s="19" t="str">
        <f t="shared" si="1"/>
        <v>HIGH PRICE</v>
      </c>
      <c r="I23" s="20" t="str">
        <f t="shared" si="2"/>
        <v>14</v>
      </c>
      <c r="J23" s="20" t="str">
        <f t="shared" si="3"/>
        <v>RU</v>
      </c>
      <c r="K23" s="20" t="str">
        <f t="shared" si="4"/>
        <v>MAY</v>
      </c>
    </row>
    <row r="24" spans="1:11" ht="15.75" customHeight="1" x14ac:dyDescent="0.25">
      <c r="A24" s="15" t="s">
        <v>84</v>
      </c>
      <c r="B24" s="15" t="s">
        <v>85</v>
      </c>
      <c r="C24" s="15" t="s">
        <v>86</v>
      </c>
      <c r="D24" s="16">
        <v>80</v>
      </c>
      <c r="E24" s="16">
        <v>20</v>
      </c>
      <c r="F24" s="15" t="s">
        <v>34</v>
      </c>
      <c r="G24" s="18">
        <f t="shared" si="0"/>
        <v>2400</v>
      </c>
      <c r="H24" s="19" t="str">
        <f t="shared" si="1"/>
        <v>STANDARD PRICE</v>
      </c>
      <c r="I24" s="20" t="str">
        <f t="shared" si="2"/>
        <v>09</v>
      </c>
      <c r="J24" s="20" t="str">
        <f t="shared" si="3"/>
        <v>CA</v>
      </c>
      <c r="K24" s="20" t="str">
        <f t="shared" si="4"/>
        <v>JAN</v>
      </c>
    </row>
    <row r="25" spans="1:11" ht="15.75" customHeight="1" x14ac:dyDescent="0.25">
      <c r="A25" s="13" t="s">
        <v>87</v>
      </c>
      <c r="B25" s="13" t="s">
        <v>88</v>
      </c>
      <c r="C25" s="13" t="s">
        <v>89</v>
      </c>
      <c r="D25" s="14">
        <v>150</v>
      </c>
      <c r="E25" s="14">
        <v>30</v>
      </c>
      <c r="F25" s="13" t="s">
        <v>26</v>
      </c>
      <c r="G25" s="18">
        <f t="shared" si="0"/>
        <v>4500</v>
      </c>
      <c r="H25" s="19" t="str">
        <f t="shared" si="1"/>
        <v>STANDARD PRICE</v>
      </c>
      <c r="I25" s="20" t="str">
        <f t="shared" si="2"/>
        <v>19</v>
      </c>
      <c r="J25" s="20" t="str">
        <f t="shared" si="3"/>
        <v>BR</v>
      </c>
      <c r="K25" s="20" t="str">
        <f t="shared" si="4"/>
        <v>JUL</v>
      </c>
    </row>
    <row r="26" spans="1:11" ht="15.75" customHeight="1" x14ac:dyDescent="0.25">
      <c r="A26" s="15" t="s">
        <v>67</v>
      </c>
      <c r="B26" s="15" t="s">
        <v>68</v>
      </c>
      <c r="C26" s="15" t="s">
        <v>69</v>
      </c>
      <c r="D26" s="16">
        <v>50</v>
      </c>
      <c r="E26" s="16">
        <v>35</v>
      </c>
      <c r="F26" s="15" t="s">
        <v>70</v>
      </c>
      <c r="G26" s="18">
        <f t="shared" si="0"/>
        <v>1500</v>
      </c>
      <c r="H26" s="19" t="str">
        <f t="shared" si="1"/>
        <v>STANDARD PRICE</v>
      </c>
      <c r="I26" s="20" t="str">
        <f t="shared" si="2"/>
        <v>21</v>
      </c>
      <c r="J26" s="20" t="str">
        <f t="shared" si="3"/>
        <v>CA</v>
      </c>
      <c r="K26" s="20" t="str">
        <f t="shared" si="4"/>
        <v>AUG</v>
      </c>
    </row>
    <row r="27" spans="1:11" ht="15.75" customHeight="1" x14ac:dyDescent="0.25">
      <c r="A27" s="13" t="s">
        <v>90</v>
      </c>
      <c r="B27" s="13" t="s">
        <v>36</v>
      </c>
      <c r="C27" s="13" t="s">
        <v>91</v>
      </c>
      <c r="D27" s="14">
        <v>800</v>
      </c>
      <c r="E27" s="14">
        <v>45</v>
      </c>
      <c r="F27" s="13" t="s">
        <v>26</v>
      </c>
      <c r="G27" s="18">
        <f t="shared" si="0"/>
        <v>24000</v>
      </c>
      <c r="H27" s="19" t="str">
        <f t="shared" si="1"/>
        <v>HIGH PRICE</v>
      </c>
      <c r="I27" s="20" t="str">
        <f t="shared" si="2"/>
        <v>29</v>
      </c>
      <c r="J27" s="20" t="str">
        <f t="shared" si="3"/>
        <v>CA</v>
      </c>
      <c r="K27" s="20" t="str">
        <f t="shared" si="4"/>
        <v>SEP</v>
      </c>
    </row>
    <row r="28" spans="1:11" ht="15.75" customHeight="1" x14ac:dyDescent="0.25">
      <c r="A28" s="15" t="s">
        <v>92</v>
      </c>
      <c r="B28" s="15" t="s">
        <v>76</v>
      </c>
      <c r="C28" s="15" t="s">
        <v>93</v>
      </c>
      <c r="D28" s="16">
        <v>130</v>
      </c>
      <c r="E28" s="16">
        <v>25</v>
      </c>
      <c r="F28" s="15" t="s">
        <v>30</v>
      </c>
      <c r="G28" s="18">
        <f t="shared" si="0"/>
        <v>3900</v>
      </c>
      <c r="H28" s="19" t="str">
        <f t="shared" si="1"/>
        <v>STANDARD PRICE</v>
      </c>
      <c r="I28" s="20" t="str">
        <f t="shared" si="2"/>
        <v>03</v>
      </c>
      <c r="J28" s="20" t="str">
        <f t="shared" si="3"/>
        <v>CA</v>
      </c>
      <c r="K28" s="20" t="str">
        <f t="shared" si="4"/>
        <v>JUN</v>
      </c>
    </row>
    <row r="29" spans="1:11" ht="15.75" customHeight="1" x14ac:dyDescent="0.25">
      <c r="A29" s="13" t="s">
        <v>94</v>
      </c>
      <c r="B29" s="13" t="s">
        <v>49</v>
      </c>
      <c r="C29" s="13" t="s">
        <v>95</v>
      </c>
      <c r="D29" s="14">
        <v>400</v>
      </c>
      <c r="E29" s="14">
        <v>40</v>
      </c>
      <c r="F29" s="13" t="s">
        <v>34</v>
      </c>
      <c r="G29" s="18">
        <f t="shared" si="0"/>
        <v>12000</v>
      </c>
      <c r="H29" s="19" t="str">
        <f t="shared" si="1"/>
        <v>STANDARD PRICE</v>
      </c>
      <c r="I29" s="20" t="str">
        <f t="shared" si="2"/>
        <v>11</v>
      </c>
      <c r="J29" s="20" t="str">
        <f t="shared" si="3"/>
        <v>CA</v>
      </c>
      <c r="K29" s="20" t="str">
        <f t="shared" si="4"/>
        <v>JUL</v>
      </c>
    </row>
    <row r="30" spans="1:11" ht="15.75" customHeight="1" x14ac:dyDescent="0.25">
      <c r="A30" s="15" t="s">
        <v>65</v>
      </c>
      <c r="B30" s="15" t="s">
        <v>43</v>
      </c>
      <c r="C30" s="15" t="s">
        <v>66</v>
      </c>
      <c r="D30" s="16">
        <v>230</v>
      </c>
      <c r="E30" s="16">
        <v>20</v>
      </c>
      <c r="F30" s="15" t="s">
        <v>26</v>
      </c>
      <c r="G30" s="18">
        <f t="shared" si="0"/>
        <v>6900</v>
      </c>
      <c r="H30" s="19" t="str">
        <f t="shared" si="1"/>
        <v>STANDARD PRICE</v>
      </c>
      <c r="I30" s="20" t="str">
        <f t="shared" si="2"/>
        <v>16</v>
      </c>
      <c r="J30" s="20" t="str">
        <f t="shared" si="3"/>
        <v>ES</v>
      </c>
      <c r="K30" s="20" t="str">
        <f t="shared" si="4"/>
        <v>APR</v>
      </c>
    </row>
    <row r="31" spans="1:11" ht="15.75" customHeight="1" x14ac:dyDescent="0.25">
      <c r="A31" s="13" t="s">
        <v>96</v>
      </c>
      <c r="B31" s="13" t="s">
        <v>97</v>
      </c>
      <c r="C31" s="13" t="s">
        <v>98</v>
      </c>
      <c r="D31" s="14">
        <v>60</v>
      </c>
      <c r="E31" s="14">
        <v>30</v>
      </c>
      <c r="F31" s="13" t="s">
        <v>30</v>
      </c>
      <c r="G31" s="18">
        <f t="shared" si="0"/>
        <v>1800</v>
      </c>
      <c r="H31" s="19" t="str">
        <f t="shared" si="1"/>
        <v>STANDARD PRICE</v>
      </c>
      <c r="I31" s="20" t="str">
        <f t="shared" si="2"/>
        <v>07</v>
      </c>
      <c r="J31" s="20" t="str">
        <f t="shared" si="3"/>
        <v>CA</v>
      </c>
      <c r="K31" s="20" t="str">
        <f t="shared" si="4"/>
        <v>MAR</v>
      </c>
    </row>
    <row r="32" spans="1:11" ht="15.75" customHeight="1" x14ac:dyDescent="0.25">
      <c r="A32" s="15" t="s">
        <v>99</v>
      </c>
      <c r="B32" s="15" t="s">
        <v>100</v>
      </c>
      <c r="C32" s="15" t="s">
        <v>101</v>
      </c>
      <c r="D32" s="16">
        <v>40</v>
      </c>
      <c r="E32" s="16">
        <v>10</v>
      </c>
      <c r="F32" s="15" t="s">
        <v>34</v>
      </c>
      <c r="G32" s="18">
        <f t="shared" si="0"/>
        <v>1200</v>
      </c>
      <c r="H32" s="19" t="str">
        <f t="shared" si="1"/>
        <v>STANDARD PRICE</v>
      </c>
      <c r="I32" s="20" t="str">
        <f t="shared" si="2"/>
        <v>13</v>
      </c>
      <c r="J32" s="20" t="str">
        <f t="shared" si="3"/>
        <v>CA</v>
      </c>
      <c r="K32" s="20" t="str">
        <f t="shared" si="4"/>
        <v>APR</v>
      </c>
    </row>
    <row r="33" spans="1:11" ht="15.75" customHeight="1" x14ac:dyDescent="0.25">
      <c r="A33" s="13" t="s">
        <v>102</v>
      </c>
      <c r="B33" s="13" t="s">
        <v>88</v>
      </c>
      <c r="C33" s="13" t="s">
        <v>103</v>
      </c>
      <c r="D33" s="14">
        <v>130</v>
      </c>
      <c r="E33" s="14">
        <v>5</v>
      </c>
      <c r="F33" s="13" t="s">
        <v>26</v>
      </c>
      <c r="G33" s="18">
        <f t="shared" si="0"/>
        <v>3900</v>
      </c>
      <c r="H33" s="19" t="str">
        <f t="shared" si="1"/>
        <v>STANDARD PRICE</v>
      </c>
      <c r="I33" s="20" t="str">
        <f t="shared" si="2"/>
        <v>24</v>
      </c>
      <c r="J33" s="20" t="str">
        <f t="shared" si="3"/>
        <v>CA</v>
      </c>
      <c r="K33" s="20" t="str">
        <f t="shared" si="4"/>
        <v>MAY</v>
      </c>
    </row>
    <row r="34" spans="1:11" ht="15.75" customHeight="1" x14ac:dyDescent="0.25">
      <c r="A34" s="15" t="s">
        <v>104</v>
      </c>
      <c r="B34" s="15" t="s">
        <v>105</v>
      </c>
      <c r="C34" s="15" t="s">
        <v>106</v>
      </c>
      <c r="D34" s="16">
        <v>50</v>
      </c>
      <c r="E34" s="16">
        <v>50</v>
      </c>
      <c r="F34" s="15" t="s">
        <v>30</v>
      </c>
      <c r="G34" s="18">
        <f t="shared" si="0"/>
        <v>1500</v>
      </c>
      <c r="H34" s="19" t="str">
        <f t="shared" si="1"/>
        <v>STANDARD PRICE</v>
      </c>
      <c r="I34" s="20" t="str">
        <f t="shared" si="2"/>
        <v>02</v>
      </c>
      <c r="J34" s="20" t="str">
        <f t="shared" si="3"/>
        <v>CA</v>
      </c>
      <c r="K34" s="20" t="str">
        <f t="shared" si="4"/>
        <v>DEC</v>
      </c>
    </row>
    <row r="35" spans="1:11" ht="15.75" customHeight="1" x14ac:dyDescent="0.25">
      <c r="A35" s="13" t="s">
        <v>57</v>
      </c>
      <c r="B35" s="13" t="s">
        <v>24</v>
      </c>
      <c r="C35" s="13" t="s">
        <v>58</v>
      </c>
      <c r="D35" s="14">
        <v>950</v>
      </c>
      <c r="E35" s="14">
        <v>25</v>
      </c>
      <c r="F35" s="13" t="s">
        <v>26</v>
      </c>
      <c r="G35" s="18">
        <f t="shared" si="0"/>
        <v>28500</v>
      </c>
      <c r="H35" s="19" t="str">
        <f t="shared" si="1"/>
        <v>HIGH PRICE</v>
      </c>
      <c r="I35" s="20" t="str">
        <f t="shared" si="2"/>
        <v>17</v>
      </c>
      <c r="J35" s="20" t="str">
        <f t="shared" si="3"/>
        <v>IN</v>
      </c>
      <c r="K35" s="20" t="str">
        <f t="shared" si="4"/>
        <v>JUN</v>
      </c>
    </row>
    <row r="36" spans="1:11" ht="15.75" customHeight="1" x14ac:dyDescent="0.25">
      <c r="A36" s="27" t="s">
        <v>107</v>
      </c>
      <c r="B36" s="27" t="s">
        <v>108</v>
      </c>
      <c r="C36" s="27" t="s">
        <v>109</v>
      </c>
      <c r="D36" s="28">
        <v>100</v>
      </c>
      <c r="E36" s="28">
        <v>20</v>
      </c>
      <c r="F36" s="27" t="s">
        <v>70</v>
      </c>
      <c r="G36" s="29">
        <f t="shared" si="0"/>
        <v>3000</v>
      </c>
      <c r="H36" s="30" t="str">
        <f t="shared" si="1"/>
        <v>STANDARD PRICE</v>
      </c>
      <c r="I36" s="31" t="str">
        <f t="shared" si="2"/>
        <v>09</v>
      </c>
      <c r="J36" s="31" t="str">
        <f t="shared" si="3"/>
        <v>FR</v>
      </c>
      <c r="K36" s="31" t="str">
        <f t="shared" si="4"/>
        <v>JUL</v>
      </c>
    </row>
    <row r="37" spans="1:11" ht="15.75" customHeight="1" x14ac:dyDescent="0.3">
      <c r="A37" s="32" t="s">
        <v>110</v>
      </c>
      <c r="B37" s="24"/>
      <c r="C37" s="24"/>
      <c r="D37" s="24"/>
      <c r="E37" s="24"/>
      <c r="F37" s="33"/>
      <c r="G37" s="34">
        <f>SUM(G3:G36)</f>
        <v>303000</v>
      </c>
      <c r="H37" s="24"/>
      <c r="I37" s="24"/>
      <c r="J37" s="24"/>
      <c r="K37" s="25"/>
    </row>
    <row r="38" spans="1:11" ht="15.75" customHeight="1" x14ac:dyDescent="0.25">
      <c r="A38" s="23" t="s">
        <v>115</v>
      </c>
      <c r="B38" s="24"/>
      <c r="C38" s="24"/>
      <c r="D38" s="24"/>
      <c r="E38" s="35">
        <f>SUM(E3:E37)</f>
        <v>900</v>
      </c>
      <c r="F38" s="24"/>
      <c r="G38" s="24"/>
      <c r="H38" s="24"/>
      <c r="I38" s="24"/>
      <c r="J38" s="24"/>
      <c r="K38" s="25"/>
    </row>
    <row r="39" spans="1:11" ht="15.75" customHeight="1" x14ac:dyDescent="0.3">
      <c r="A39" s="26" t="s">
        <v>111</v>
      </c>
      <c r="B39" s="21"/>
      <c r="C39" s="21"/>
      <c r="D39" s="21"/>
      <c r="E39" s="21"/>
      <c r="F39" s="21"/>
      <c r="G39" s="36">
        <f>AVERAGE(G37/E38)</f>
        <v>336.66666666666669</v>
      </c>
      <c r="H39" s="21"/>
      <c r="I39" s="21"/>
      <c r="J39" s="21"/>
      <c r="K39" s="22"/>
    </row>
    <row r="40" spans="1:11" ht="15.75" customHeight="1" x14ac:dyDescent="0.3">
      <c r="A40" s="26" t="s">
        <v>122</v>
      </c>
      <c r="B40" s="21"/>
      <c r="C40" s="21"/>
      <c r="D40" s="21"/>
      <c r="E40" s="21">
        <f>COUNT(B3:B36)</f>
        <v>0</v>
      </c>
      <c r="F40" s="21"/>
      <c r="G40" s="36"/>
      <c r="H40" s="21"/>
      <c r="I40" s="21"/>
      <c r="J40" s="21"/>
      <c r="K40" s="22"/>
    </row>
    <row r="41" spans="1:11" ht="15.75" customHeight="1" x14ac:dyDescent="0.25"/>
    <row r="42" spans="1:11" ht="15.75" customHeight="1" x14ac:dyDescent="0.25">
      <c r="A42" s="37" t="s">
        <v>113</v>
      </c>
      <c r="B42" s="38"/>
      <c r="C42" s="38"/>
      <c r="D42" s="39"/>
      <c r="E42" s="40">
        <f>MIN(D3:D36)</f>
        <v>30</v>
      </c>
    </row>
    <row r="43" spans="1:11" ht="15.75" customHeight="1" x14ac:dyDescent="0.25">
      <c r="A43" s="37" t="s">
        <v>112</v>
      </c>
      <c r="B43" s="38"/>
      <c r="C43" s="38"/>
      <c r="D43" s="41"/>
      <c r="E43" s="40">
        <f>MAX(D3:D36)</f>
        <v>1000</v>
      </c>
    </row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>
      <c r="A47" s="6" t="s">
        <v>22</v>
      </c>
      <c r="B47" s="6" t="s">
        <v>115</v>
      </c>
      <c r="C47" s="6" t="s">
        <v>116</v>
      </c>
    </row>
    <row r="48" spans="1:11" ht="15.75" customHeight="1" x14ac:dyDescent="0.25">
      <c r="A48" s="7" t="s">
        <v>26</v>
      </c>
      <c r="B48" s="8">
        <f>SUMIF(F3:F36,"electronics",E3:E36)</f>
        <v>410</v>
      </c>
      <c r="C48" s="8">
        <f>SUMIF(F3:F36,"electronics",G3:G36)</f>
        <v>241500</v>
      </c>
      <c r="H48" s="5"/>
    </row>
    <row r="49" spans="1:5" ht="15.75" customHeight="1" x14ac:dyDescent="0.25">
      <c r="A49" s="7" t="s">
        <v>34</v>
      </c>
      <c r="B49" s="8">
        <f>SUMIF(F3:F36,"kitchen",E3:E36)</f>
        <v>180</v>
      </c>
      <c r="C49" s="8">
        <f>SUMIF(F3:F36,"kitchen",G3:G36)</f>
        <v>25800</v>
      </c>
    </row>
    <row r="50" spans="1:5" ht="15.75" customHeight="1" x14ac:dyDescent="0.25">
      <c r="A50" s="9" t="s">
        <v>30</v>
      </c>
      <c r="B50" s="8">
        <f>SUMIF(F3:F36,"fashion",E3:E36)</f>
        <v>180</v>
      </c>
      <c r="C50" s="8">
        <f>SUMIF(F3:F36,"fashion",G3:G36)</f>
        <v>17700</v>
      </c>
    </row>
    <row r="51" spans="1:5" ht="15.75" customHeight="1" x14ac:dyDescent="0.25">
      <c r="A51" s="7" t="s">
        <v>41</v>
      </c>
      <c r="B51" s="8">
        <f>SUMIF(F3:F36,"outdoor",E3:E36)</f>
        <v>40</v>
      </c>
      <c r="C51" s="8">
        <f>SUMIF(F3:F36,"outdoor",G3:G36)</f>
        <v>12000</v>
      </c>
    </row>
    <row r="52" spans="1:5" ht="15.75" customHeight="1" x14ac:dyDescent="0.25">
      <c r="A52" s="9" t="s">
        <v>70</v>
      </c>
      <c r="B52" s="8">
        <f>SUMIF(F3:F36,"accessories",E3:E36)</f>
        <v>90</v>
      </c>
      <c r="C52" s="8">
        <f>SUMIF(F3:F36,"accessories",G3:G36)</f>
        <v>6000</v>
      </c>
    </row>
    <row r="53" spans="1:5" ht="15.75" customHeight="1" x14ac:dyDescent="0.25"/>
    <row r="54" spans="1:5" ht="15.75" customHeight="1" x14ac:dyDescent="0.25"/>
    <row r="55" spans="1:5" ht="15.75" customHeight="1" x14ac:dyDescent="0.25">
      <c r="A55" s="37" t="s">
        <v>117</v>
      </c>
      <c r="B55" s="38"/>
      <c r="C55" s="38"/>
      <c r="D55" s="39"/>
      <c r="E55" s="40">
        <f>COUNTIF(D3:D36,"&lt;100")</f>
        <v>11</v>
      </c>
    </row>
    <row r="56" spans="1:5" ht="15.75" customHeight="1" x14ac:dyDescent="0.25"/>
    <row r="57" spans="1:5" ht="15.75" customHeight="1" x14ac:dyDescent="0.25"/>
    <row r="58" spans="1:5" ht="15.75" customHeight="1" x14ac:dyDescent="0.25"/>
    <row r="59" spans="1:5" ht="15.75" customHeight="1" x14ac:dyDescent="0.25"/>
    <row r="60" spans="1:5" ht="15.75" customHeight="1" x14ac:dyDescent="0.25"/>
    <row r="61" spans="1:5" ht="15.75" customHeight="1" x14ac:dyDescent="0.25"/>
    <row r="62" spans="1:5" ht="15.75" customHeight="1" x14ac:dyDescent="0.25"/>
    <row r="63" spans="1:5" ht="15.75" customHeight="1" x14ac:dyDescent="0.25"/>
    <row r="64" spans="1: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">
    <mergeCell ref="A42:D42"/>
    <mergeCell ref="A43:C43"/>
    <mergeCell ref="A55:D55"/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LISNI</dc:creator>
  <cp:lastModifiedBy>lisniassis4@gmail.com</cp:lastModifiedBy>
  <dcterms:created xsi:type="dcterms:W3CDTF">2026-08-24T10:30:58Z</dcterms:created>
  <dcterms:modified xsi:type="dcterms:W3CDTF">2026-08-25T15:07:04Z</dcterms:modified>
</cp:coreProperties>
</file>