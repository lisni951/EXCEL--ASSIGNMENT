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45d5812fe33af34/Documents/EXCEL DM70/FIRST ASSIGNMENT/"/>
    </mc:Choice>
  </mc:AlternateContent>
  <xr:revisionPtr revIDLastSave="61" documentId="11_92A008BC19072EB69CCF429FC9F40E095386FE5E" xr6:coauthVersionLast="47" xr6:coauthVersionMax="47" xr10:uidLastSave="{E9BFE850-CDFC-416C-A16A-733159BEDBB5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C3zujzem2YrEITyvJMdJ76FeCACpjZIOxHG0KGzBTLo="/>
    </ext>
  </extLst>
</workbook>
</file>

<file path=xl/calcChain.xml><?xml version="1.0" encoding="utf-8"?>
<calcChain xmlns="http://schemas.openxmlformats.org/spreadsheetml/2006/main">
  <c r="N6" i="2" l="1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5" i="2"/>
  <c r="G5" i="2"/>
  <c r="H5" i="2"/>
  <c r="I5" i="2"/>
  <c r="J5" i="2"/>
  <c r="M5" i="2"/>
  <c r="G6" i="2"/>
  <c r="H6" i="2"/>
  <c r="I6" i="2"/>
  <c r="J6" i="2"/>
  <c r="M6" i="2"/>
  <c r="G7" i="2"/>
  <c r="H7" i="2"/>
  <c r="I7" i="2"/>
  <c r="J7" i="2"/>
  <c r="M7" i="2"/>
  <c r="G8" i="2"/>
  <c r="H8" i="2"/>
  <c r="I8" i="2"/>
  <c r="J8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G45" i="2"/>
  <c r="G43" i="2"/>
  <c r="G42" i="2"/>
  <c r="I40" i="2"/>
  <c r="I39" i="2"/>
  <c r="J38" i="2"/>
  <c r="I38" i="2"/>
  <c r="H38" i="2"/>
  <c r="G38" i="2"/>
  <c r="J37" i="2"/>
  <c r="I37" i="2"/>
  <c r="H37" i="2"/>
  <c r="G37" i="2"/>
  <c r="J36" i="2"/>
  <c r="I36" i="2"/>
  <c r="H36" i="2"/>
  <c r="G36" i="2"/>
  <c r="J35" i="2"/>
  <c r="I35" i="2"/>
  <c r="H35" i="2"/>
  <c r="G35" i="2"/>
  <c r="J34" i="2"/>
  <c r="I34" i="2"/>
  <c r="H34" i="2"/>
  <c r="G34" i="2"/>
  <c r="J33" i="2"/>
  <c r="I33" i="2"/>
  <c r="H33" i="2"/>
  <c r="G33" i="2"/>
  <c r="J32" i="2"/>
  <c r="I32" i="2"/>
  <c r="H32" i="2"/>
  <c r="G32" i="2"/>
  <c r="J31" i="2"/>
  <c r="I31" i="2"/>
  <c r="H31" i="2"/>
  <c r="G31" i="2"/>
  <c r="J30" i="2"/>
  <c r="I30" i="2"/>
  <c r="H30" i="2"/>
  <c r="G30" i="2"/>
  <c r="J29" i="2"/>
  <c r="I29" i="2"/>
  <c r="H29" i="2"/>
  <c r="G29" i="2"/>
  <c r="J28" i="2"/>
  <c r="I28" i="2"/>
  <c r="H28" i="2"/>
  <c r="G28" i="2"/>
  <c r="J27" i="2"/>
  <c r="I27" i="2"/>
  <c r="H27" i="2"/>
  <c r="G27" i="2"/>
  <c r="J26" i="2"/>
  <c r="I26" i="2"/>
  <c r="H26" i="2"/>
  <c r="G26" i="2"/>
  <c r="J25" i="2"/>
  <c r="I25" i="2"/>
  <c r="H25" i="2"/>
  <c r="G25" i="2"/>
  <c r="J24" i="2"/>
  <c r="I24" i="2"/>
  <c r="H24" i="2"/>
  <c r="G24" i="2"/>
  <c r="J23" i="2"/>
  <c r="I23" i="2"/>
  <c r="H23" i="2"/>
  <c r="G23" i="2"/>
  <c r="J22" i="2"/>
  <c r="I22" i="2"/>
  <c r="H22" i="2"/>
  <c r="G22" i="2"/>
  <c r="J21" i="2"/>
  <c r="I21" i="2"/>
  <c r="H21" i="2"/>
  <c r="G21" i="2"/>
  <c r="J20" i="2"/>
  <c r="I20" i="2"/>
  <c r="H20" i="2"/>
  <c r="G20" i="2"/>
  <c r="J19" i="2"/>
  <c r="I19" i="2"/>
  <c r="H19" i="2"/>
  <c r="G19" i="2"/>
  <c r="J18" i="2"/>
  <c r="I18" i="2"/>
  <c r="H18" i="2"/>
  <c r="G18" i="2"/>
  <c r="J17" i="2"/>
  <c r="I17" i="2"/>
  <c r="H17" i="2"/>
  <c r="G17" i="2"/>
  <c r="J16" i="2"/>
  <c r="I16" i="2"/>
  <c r="H16" i="2"/>
  <c r="G16" i="2"/>
  <c r="J15" i="2"/>
  <c r="I15" i="2"/>
  <c r="H15" i="2"/>
  <c r="G15" i="2"/>
  <c r="J14" i="2"/>
  <c r="I14" i="2"/>
  <c r="H14" i="2"/>
  <c r="G14" i="2"/>
  <c r="J13" i="2"/>
  <c r="I13" i="2"/>
  <c r="H13" i="2"/>
  <c r="G13" i="2"/>
  <c r="J12" i="2"/>
  <c r="I12" i="2"/>
  <c r="H12" i="2"/>
  <c r="G12" i="2"/>
  <c r="J11" i="2"/>
  <c r="I11" i="2"/>
  <c r="H11" i="2"/>
  <c r="G11" i="2"/>
  <c r="J10" i="2"/>
  <c r="I10" i="2"/>
  <c r="H10" i="2"/>
  <c r="G10" i="2"/>
  <c r="J9" i="2"/>
  <c r="I9" i="2"/>
  <c r="H9" i="2"/>
  <c r="G9" i="2"/>
</calcChain>
</file>

<file path=xl/sharedStrings.xml><?xml version="1.0" encoding="utf-8"?>
<sst xmlns="http://schemas.openxmlformats.org/spreadsheetml/2006/main" count="205" uniqueCount="139">
  <si>
    <t xml:space="preserve"> </t>
  </si>
  <si>
    <t>1) Handling Missing Values:</t>
  </si>
  <si>
    <t>• Check for missing values in the 'Price' column. How would you handle products with missing price information?</t>
  </si>
  <si>
    <t>ASSIGNMENT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</si>
  <si>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</si>
  <si>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</si>
  <si>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</si>
  <si>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</si>
  <si>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</si>
  <si>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</si>
  <si>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</si>
  <si>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</si>
  <si>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</si>
  <si>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</si>
  <si>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</si>
  <si>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>Product ID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</si>
  <si>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</si>
  <si>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</si>
  <si>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</si>
  <si>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</si>
  <si>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28-JAN-US</t>
  </si>
  <si>
    <t>Laptop</t>
  </si>
  <si>
    <t>Dell</t>
  </si>
  <si>
    <t>Electronics</t>
  </si>
  <si>
    <t>US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</si>
  <si>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</si>
  <si>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</si>
  <si>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</si>
  <si>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</si>
  <si>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</si>
  <si>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</si>
  <si>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</si>
  <si>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</si>
  <si>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</si>
  <si>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</si>
  <si>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</si>
  <si>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</si>
  <si>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</si>
  <si>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</si>
  <si>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</si>
  <si>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</si>
  <si>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</si>
  <si>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UK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</si>
  <si>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</si>
  <si>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</si>
  <si>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</si>
  <si>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</si>
  <si>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</si>
  <si>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</si>
  <si>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</si>
  <si>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</si>
  <si>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</si>
  <si>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</si>
  <si>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</si>
  <si>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</si>
  <si>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</si>
  <si>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</si>
  <si>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HP</t>
  </si>
  <si>
    <t>IN</t>
  </si>
  <si>
    <t>25-NOV-AU</t>
  </si>
  <si>
    <t>AU</t>
  </si>
  <si>
    <t>08-DEC-DE</t>
  </si>
  <si>
    <t>Nespresso</t>
  </si>
  <si>
    <t>DE</t>
  </si>
  <si>
    <t>18-FEB-CA</t>
  </si>
  <si>
    <t>Smartwatch</t>
  </si>
  <si>
    <t>Fitbit</t>
  </si>
  <si>
    <t>CA</t>
  </si>
  <si>
    <t>16-APR-ES</t>
  </si>
  <si>
    <t>headphones</t>
  </si>
  <si>
    <t>Bose</t>
  </si>
  <si>
    <t>ES</t>
  </si>
  <si>
    <t>21-AUG-CA</t>
  </si>
  <si>
    <t>Laptop Bag</t>
  </si>
  <si>
    <t>Samsonite</t>
  </si>
  <si>
    <t>Accessories</t>
  </si>
  <si>
    <t>20-AUG-CN</t>
  </si>
  <si>
    <t>Huawei</t>
  </si>
  <si>
    <t>CN</t>
  </si>
  <si>
    <t>27-JAN-IT</t>
  </si>
  <si>
    <t>Asus</t>
  </si>
  <si>
    <t>IT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</si>
  <si>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</si>
  <si>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</si>
  <si>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</si>
  <si>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</si>
  <si>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</si>
  <si>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</si>
  <si>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</si>
  <si>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</si>
  <si>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</si>
  <si>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RU</t>
  </si>
  <si>
    <t>09-JAN-CA</t>
  </si>
  <si>
    <t>Microwave</t>
  </si>
  <si>
    <t>Panasonic</t>
  </si>
  <si>
    <t>19-JUL-BR</t>
  </si>
  <si>
    <t>Fitness Tracker</t>
  </si>
  <si>
    <t>Xiaomi</t>
  </si>
  <si>
    <t>BR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</si>
  <si>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</si>
  <si>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</si>
  <si>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</si>
  <si>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</si>
  <si>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</si>
  <si>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</si>
  <si>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</si>
  <si>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</si>
  <si>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</si>
  <si>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</si>
  <si>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</si>
  <si>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</si>
  <si>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</si>
  <si>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</si>
  <si>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</si>
  <si>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</si>
  <si>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</si>
  <si>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</si>
  <si>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</si>
  <si>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</si>
  <si>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</si>
  <si>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FR</t>
  </si>
  <si>
    <t>Missing values in the price column</t>
  </si>
  <si>
    <t>To handle missing products in price</t>
  </si>
  <si>
    <t>To handle missing products in category</t>
  </si>
  <si>
    <t>There are no duplicate raws.(selecet entire dataset.data-&gt;remove duplicates.a dilouge box appears,make sure all coloumns are selected.then click ok</t>
  </si>
  <si>
    <t>To format  the price coloumn to currency,select price coloumn,home tab&gt;in no section,click currency.ok</t>
  </si>
  <si>
    <t>Product Name</t>
  </si>
  <si>
    <t>Brand Name</t>
  </si>
  <si>
    <t>Price ($)</t>
  </si>
  <si>
    <t>Quantity</t>
  </si>
  <si>
    <t>Category(find &amp; replace)</t>
  </si>
  <si>
    <t>Check missing values in price coloumn</t>
  </si>
  <si>
    <t>Check missing values incatagory coloumn</t>
  </si>
  <si>
    <t>Inconsistencies in product name</t>
  </si>
  <si>
    <t>Inconsistence in category</t>
  </si>
  <si>
    <t>Country Code(flash fill)</t>
  </si>
  <si>
    <t>Product Brand(using merge)</t>
  </si>
  <si>
    <t>Manufacturing Date(left fun)</t>
  </si>
  <si>
    <t>using date value fun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</si>
</sst>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809]#,##0.00"/>
  </numFmts>
  <fonts count="18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u/>
      <sz val="24"/>
      <color rgb="FF000000"/>
      <name val="Arial Black"/>
    </font>
    <font>
      <sz val="10"/>
      <color rgb="FF000000"/>
      <name val="Arial"/>
    </font>
    <font>
      <sz val="10"/>
      <name val="Arial"/>
    </font>
    <font>
      <sz val="10"/>
      <color theme="1"/>
      <name val="Arial"/>
    </font>
    <font>
      <b/>
      <sz val="10"/>
      <color theme="1"/>
      <name val="Arial"/>
    </font>
    <font>
      <sz val="11"/>
      <color theme="1"/>
      <name val="Times New Roman"/>
    </font>
    <font>
      <b/>
      <sz val="11"/>
      <color rgb="FF000000"/>
      <name val="Arial"/>
    </font>
    <font>
      <b/>
      <sz val="12"/>
      <color rgb="FF000000"/>
      <name val="Arial"/>
    </font>
    <font>
      <b/>
      <sz val="10"/>
      <color rgb="FF000000"/>
      <name val="Arial"/>
    </font>
    <font>
      <sz val="11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BC8D03"/>
        <bgColor rgb="FFBC8D03"/>
      </patternFill>
    </fill>
    <fill>
      <patternFill patternType="solid">
        <fgColor rgb="FFFFFF00"/>
        <bgColor rgb="FFFFFF00"/>
      </patternFill>
    </fill>
    <fill>
      <patternFill patternType="solid">
        <fgColor rgb="FFFEF1CC"/>
        <bgColor rgb="FFFEF1CC"/>
      </patternFill>
    </fill>
    <fill>
      <patternFill patternType="solid">
        <fgColor rgb="FFFDE49A"/>
        <bgColor rgb="FFFDE49A"/>
      </patternFill>
    </fill>
    <fill>
      <patternFill patternType="solid">
        <fgColor rgb="FFA6E3B6"/>
        <bgColor rgb="FFA6E3B6"/>
      </patternFill>
    </fill>
    <fill>
      <patternFill patternType="solid">
        <fgColor rgb="FFFFFF00"/>
        <bgColor rgb="FF4DD0E1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8" fillId="0" borderId="0" xfId="0" applyFont="1"/>
    <xf numFmtId="0" fontId="8" fillId="4" borderId="9" xfId="0" applyFont="1" applyFill="1" applyBorder="1" applyAlignment="1">
      <alignment horizontal="center"/>
    </xf>
    <xf numFmtId="0" fontId="10" fillId="0" borderId="0" xfId="0" applyFont="1"/>
    <xf numFmtId="164" fontId="8" fillId="4" borderId="9" xfId="0" applyNumberFormat="1" applyFont="1" applyFill="1" applyBorder="1" applyAlignment="1">
      <alignment horizontal="center"/>
    </xf>
    <xf numFmtId="0" fontId="8" fillId="5" borderId="9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16" fontId="6" fillId="5" borderId="9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11" fillId="6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164" fontId="6" fillId="6" borderId="1" xfId="0" applyNumberFormat="1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14" fillId="6" borderId="1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1" fillId="6" borderId="1" xfId="0" applyFont="1" applyFill="1" applyBorder="1"/>
    <xf numFmtId="0" fontId="6" fillId="6" borderId="1" xfId="0" applyFont="1" applyFill="1" applyBorder="1"/>
    <xf numFmtId="0" fontId="6" fillId="0" borderId="0" xfId="0" applyFont="1" applyAlignment="1">
      <alignment horizontal="center" wrapText="1"/>
    </xf>
    <xf numFmtId="0" fontId="15" fillId="6" borderId="1" xfId="0" applyFont="1" applyFill="1" applyBorder="1"/>
    <xf numFmtId="0" fontId="15" fillId="6" borderId="1" xfId="0" applyFont="1" applyFill="1" applyBorder="1" applyAlignment="1">
      <alignment wrapText="1"/>
    </xf>
    <xf numFmtId="0" fontId="9" fillId="3" borderId="11" xfId="0" applyFont="1" applyFill="1" applyBorder="1" applyAlignment="1">
      <alignment horizontal="center" wrapText="1"/>
    </xf>
    <xf numFmtId="14" fontId="0" fillId="0" borderId="0" xfId="0" applyNumberFormat="1"/>
    <xf numFmtId="0" fontId="5" fillId="2" borderId="2" xfId="0" applyFont="1" applyFill="1" applyBorder="1" applyAlignment="1">
      <alignment horizontal="center"/>
    </xf>
    <xf numFmtId="0" fontId="7" fillId="0" borderId="3" xfId="0" applyFont="1" applyBorder="1"/>
    <xf numFmtId="0" fontId="7" fillId="0" borderId="4" xfId="0" applyFont="1" applyBorder="1"/>
    <xf numFmtId="0" fontId="7" fillId="0" borderId="5" xfId="0" applyFont="1" applyBorder="1"/>
    <xf numFmtId="0" fontId="0" fillId="0" borderId="0" xfId="0"/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10" xfId="0" applyFont="1" applyBorder="1"/>
    <xf numFmtId="0" fontId="9" fillId="7" borderId="12" xfId="0" applyFont="1" applyFill="1" applyBorder="1" applyAlignment="1">
      <alignment horizontal="center"/>
    </xf>
    <xf numFmtId="0" fontId="17" fillId="7" borderId="12" xfId="0" applyFont="1" applyFill="1" applyBorder="1" applyAlignment="1">
      <alignment horizontal="center" wrapText="1"/>
    </xf>
    <xf numFmtId="0" fontId="9" fillId="7" borderId="12" xfId="0" applyFont="1" applyFill="1" applyBorder="1" applyAlignment="1">
      <alignment horizontal="center" wrapText="1"/>
    </xf>
    <xf numFmtId="0" fontId="0" fillId="8" borderId="0" xfId="0" applyFill="1"/>
    <xf numFmtId="0" fontId="6" fillId="5" borderId="13" xfId="0" applyFont="1" applyFill="1" applyBorder="1" applyAlignment="1">
      <alignment horizontal="center"/>
    </xf>
    <xf numFmtId="14" fontId="0" fillId="9" borderId="12" xfId="0" applyNumberFormat="1" applyFill="1" applyBorder="1"/>
  </cellXfs>
  <cellStyles count="1">
    <cellStyle name="Normal" xfId="0" builtinId="0"/>
  </cellStyles>
  <dxfs count="1">
    <dxf>
      <fill>
        <patternFill patternType="solid">
          <fgColor rgb="FFC22114"/>
          <bgColor rgb="FFC2211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3" workbookViewId="0"/>
  </sheetViews>
  <sheetFormatPr defaultColWidth="12.6640625" defaultRowHeight="15" customHeight="1" x14ac:dyDescent="0.25"/>
  <cols>
    <col min="2" max="2" width="7.441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4</v>
      </c>
    </row>
    <row r="6" spans="1:11" ht="15.75" customHeight="1" x14ac:dyDescent="0.3">
      <c r="B6" s="4"/>
    </row>
    <row r="7" spans="1:11" ht="15.75" customHeight="1" x14ac:dyDescent="0.3">
      <c r="B7" s="2" t="s">
        <v>5</v>
      </c>
    </row>
    <row r="8" spans="1:11" ht="15.75" customHeight="1" x14ac:dyDescent="0.3">
      <c r="C8" s="3" t="s">
        <v>6</v>
      </c>
    </row>
    <row r="9" spans="1:11" ht="15.75" customHeight="1" x14ac:dyDescent="0.3">
      <c r="C9" s="3" t="s">
        <v>7</v>
      </c>
    </row>
    <row r="10" spans="1:11" ht="15.75" customHeight="1" x14ac:dyDescent="0.3">
      <c r="C10" s="3" t="s">
        <v>0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16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17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18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19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7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1005"/>
  <sheetViews>
    <sheetView tabSelected="1" topLeftCell="A14" workbookViewId="0">
      <selection activeCell="P4" sqref="P4"/>
    </sheetView>
  </sheetViews>
  <sheetFormatPr defaultColWidth="12.6640625" defaultRowHeight="15" customHeight="1" x14ac:dyDescent="0.25"/>
  <cols>
    <col min="1" max="1" width="12.88671875" customWidth="1"/>
    <col min="6" max="8" width="13.77734375" customWidth="1"/>
    <col min="9" max="10" width="17" customWidth="1"/>
    <col min="13" max="13" width="22" customWidth="1"/>
  </cols>
  <sheetData>
    <row r="1" spans="1:17" ht="15" customHeight="1" x14ac:dyDescent="0.25">
      <c r="A1" s="27" t="s">
        <v>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9"/>
      <c r="N1" s="39"/>
    </row>
    <row r="2" spans="1:17" ht="15" customHeight="1" x14ac:dyDescent="0.25">
      <c r="A2" s="30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2"/>
      <c r="N2" s="39"/>
    </row>
    <row r="3" spans="1:17" ht="15" customHeight="1" x14ac:dyDescent="0.25">
      <c r="A3" s="33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5"/>
      <c r="N3" s="39"/>
    </row>
    <row r="4" spans="1:17" ht="39" customHeight="1" x14ac:dyDescent="0.25">
      <c r="A4" s="36" t="s">
        <v>15</v>
      </c>
      <c r="B4" s="36" t="s">
        <v>126</v>
      </c>
      <c r="C4" s="36" t="s">
        <v>127</v>
      </c>
      <c r="D4" s="36" t="s">
        <v>128</v>
      </c>
      <c r="E4" s="36" t="s">
        <v>129</v>
      </c>
      <c r="F4" s="37" t="s">
        <v>130</v>
      </c>
      <c r="G4" s="38" t="s">
        <v>131</v>
      </c>
      <c r="H4" s="38" t="s">
        <v>132</v>
      </c>
      <c r="I4" s="38" t="s">
        <v>133</v>
      </c>
      <c r="J4" s="37" t="s">
        <v>134</v>
      </c>
      <c r="K4" s="37" t="s">
        <v>137</v>
      </c>
      <c r="L4" s="37" t="s">
        <v>135</v>
      </c>
      <c r="M4" s="37" t="s">
        <v>136</v>
      </c>
      <c r="N4" s="25" t="s">
        <v>138</v>
      </c>
    </row>
    <row r="5" spans="1:17" ht="15.75" customHeight="1" x14ac:dyDescent="0.25">
      <c r="A5" s="6" t="s">
        <v>20</v>
      </c>
      <c r="B5" s="6" t="s">
        <v>21</v>
      </c>
      <c r="C5" s="6" t="s">
        <v>22</v>
      </c>
      <c r="D5" s="8">
        <v>1000</v>
      </c>
      <c r="E5" s="6">
        <v>30</v>
      </c>
      <c r="F5" s="6" t="s">
        <v>23</v>
      </c>
      <c r="G5" s="9" t="b">
        <f t="shared" ref="G5:G38" si="0">ISBLANK(D5)</f>
        <v>0</v>
      </c>
      <c r="H5" s="9" t="str">
        <f t="shared" ref="H5:H38" si="1">IF(ISBLANK(F5),"Aavailable","Not Available")</f>
        <v>Not Available</v>
      </c>
      <c r="I5" s="10" t="str">
        <f t="shared" ref="I5:I40" si="2">PROPER(B5)</f>
        <v>Laptop</v>
      </c>
      <c r="J5" s="10" t="str">
        <f t="shared" ref="J5:J38" si="3">PROPER(F5)</f>
        <v>Electronics</v>
      </c>
      <c r="K5" s="11" t="str">
        <f>LEFT(A5,6)</f>
        <v>28-JAN</v>
      </c>
      <c r="L5" s="10" t="s">
        <v>24</v>
      </c>
      <c r="M5" s="40" t="str">
        <f>_xlfn.CONCAT(B5,C5)</f>
        <v>LaptopDell</v>
      </c>
      <c r="N5" s="41">
        <f>DATEVALUE(K5&amp;"2026")</f>
        <v>46050</v>
      </c>
      <c r="P5" s="26"/>
    </row>
    <row r="6" spans="1:17" ht="15.75" customHeight="1" x14ac:dyDescent="0.25">
      <c r="A6" s="6" t="s">
        <v>25</v>
      </c>
      <c r="B6" s="6" t="s">
        <v>26</v>
      </c>
      <c r="C6" s="6" t="s">
        <v>27</v>
      </c>
      <c r="D6" s="8">
        <v>80</v>
      </c>
      <c r="E6" s="6">
        <v>15</v>
      </c>
      <c r="F6" s="6" t="s">
        <v>28</v>
      </c>
      <c r="G6" s="9" t="b">
        <f t="shared" si="0"/>
        <v>0</v>
      </c>
      <c r="H6" s="9" t="str">
        <f t="shared" si="1"/>
        <v>Not Available</v>
      </c>
      <c r="I6" s="10" t="str">
        <f t="shared" si="2"/>
        <v>Sneakers</v>
      </c>
      <c r="J6" s="10" t="str">
        <f t="shared" si="3"/>
        <v>Fashion</v>
      </c>
      <c r="K6" s="11" t="str">
        <f t="shared" ref="K6:K38" si="4">LEFT(A6,6)</f>
        <v>15-FEB</v>
      </c>
      <c r="L6" s="10" t="s">
        <v>24</v>
      </c>
      <c r="M6" s="40" t="str">
        <f t="shared" ref="M6:M38" si="5">_xlfn.CONCAT(B6,C6)</f>
        <v>SneakersNike</v>
      </c>
      <c r="N6" s="41">
        <f t="shared" ref="N6:N38" si="6">DATEVALUE(K6&amp;"2026")</f>
        <v>46068</v>
      </c>
      <c r="P6" s="26"/>
      <c r="Q6" s="5"/>
    </row>
    <row r="7" spans="1:17" ht="15.75" customHeight="1" x14ac:dyDescent="0.25">
      <c r="A7" s="6" t="s">
        <v>29</v>
      </c>
      <c r="B7" s="6" t="s">
        <v>30</v>
      </c>
      <c r="C7" s="6" t="s">
        <v>31</v>
      </c>
      <c r="D7" s="8">
        <v>130</v>
      </c>
      <c r="E7" s="6">
        <v>40</v>
      </c>
      <c r="F7" s="6" t="s">
        <v>32</v>
      </c>
      <c r="G7" s="9" t="b">
        <f t="shared" si="0"/>
        <v>0</v>
      </c>
      <c r="H7" s="9" t="str">
        <f t="shared" si="1"/>
        <v>Not Available</v>
      </c>
      <c r="I7" s="10" t="str">
        <f t="shared" si="2"/>
        <v>Coffee Maker</v>
      </c>
      <c r="J7" s="10" t="str">
        <f t="shared" si="3"/>
        <v>Kitchen</v>
      </c>
      <c r="K7" s="11" t="str">
        <f t="shared" si="4"/>
        <v>03-MAR</v>
      </c>
      <c r="L7" s="10" t="s">
        <v>24</v>
      </c>
      <c r="M7" s="40" t="str">
        <f t="shared" si="5"/>
        <v>Coffee MakerKeurig</v>
      </c>
      <c r="N7" s="41">
        <f t="shared" si="6"/>
        <v>46084</v>
      </c>
      <c r="P7" s="26"/>
      <c r="Q7" s="5"/>
    </row>
    <row r="8" spans="1:17" ht="15.75" customHeight="1" x14ac:dyDescent="0.25">
      <c r="A8" s="6" t="s">
        <v>33</v>
      </c>
      <c r="B8" s="6" t="s">
        <v>34</v>
      </c>
      <c r="C8" s="6" t="s">
        <v>35</v>
      </c>
      <c r="D8" s="8">
        <v>900</v>
      </c>
      <c r="E8" s="6">
        <v>25</v>
      </c>
      <c r="F8" s="6" t="s">
        <v>23</v>
      </c>
      <c r="G8" s="9" t="b">
        <f t="shared" si="0"/>
        <v>0</v>
      </c>
      <c r="H8" s="9" t="str">
        <f t="shared" si="1"/>
        <v>Not Available</v>
      </c>
      <c r="I8" s="10" t="str">
        <f t="shared" si="2"/>
        <v>Smartphone</v>
      </c>
      <c r="J8" s="10" t="str">
        <f t="shared" si="3"/>
        <v>Electronics</v>
      </c>
      <c r="K8" s="11" t="str">
        <f t="shared" si="4"/>
        <v>11-APR</v>
      </c>
      <c r="L8" s="10" t="s">
        <v>24</v>
      </c>
      <c r="M8" s="40" t="str">
        <f t="shared" si="5"/>
        <v>smartphoneSamsung</v>
      </c>
      <c r="N8" s="41">
        <f t="shared" si="6"/>
        <v>46123</v>
      </c>
      <c r="P8" s="26"/>
      <c r="Q8" s="5"/>
    </row>
    <row r="9" spans="1:17" ht="15.75" customHeight="1" x14ac:dyDescent="0.25">
      <c r="A9" s="6" t="s">
        <v>36</v>
      </c>
      <c r="B9" s="6" t="s">
        <v>37</v>
      </c>
      <c r="C9" s="6" t="s">
        <v>38</v>
      </c>
      <c r="D9" s="8">
        <v>70</v>
      </c>
      <c r="E9" s="6">
        <v>20</v>
      </c>
      <c r="F9" s="6"/>
      <c r="G9" s="9" t="b">
        <f t="shared" si="0"/>
        <v>0</v>
      </c>
      <c r="H9" s="9" t="str">
        <f t="shared" si="1"/>
        <v>Aavailable</v>
      </c>
      <c r="I9" s="10" t="str">
        <f t="shared" si="2"/>
        <v>Backpack</v>
      </c>
      <c r="J9" s="10" t="str">
        <f t="shared" si="3"/>
        <v/>
      </c>
      <c r="K9" s="11" t="str">
        <f t="shared" si="4"/>
        <v>22-MAY</v>
      </c>
      <c r="L9" s="10" t="s">
        <v>24</v>
      </c>
      <c r="M9" s="40" t="str">
        <f t="shared" si="5"/>
        <v>BackpackNorth Face</v>
      </c>
      <c r="N9" s="41">
        <f t="shared" si="6"/>
        <v>46164</v>
      </c>
      <c r="P9" s="26"/>
    </row>
    <row r="10" spans="1:17" ht="15.75" customHeight="1" x14ac:dyDescent="0.25">
      <c r="A10" s="6" t="s">
        <v>39</v>
      </c>
      <c r="B10" s="6" t="s">
        <v>40</v>
      </c>
      <c r="C10" s="6" t="s">
        <v>41</v>
      </c>
      <c r="D10" s="8"/>
      <c r="E10" s="6">
        <v>45</v>
      </c>
      <c r="F10" s="6" t="s">
        <v>23</v>
      </c>
      <c r="G10" s="9" t="b">
        <f t="shared" si="0"/>
        <v>1</v>
      </c>
      <c r="H10" s="9" t="str">
        <f t="shared" si="1"/>
        <v>Not Available</v>
      </c>
      <c r="I10" s="10" t="str">
        <f t="shared" si="2"/>
        <v>Headphones</v>
      </c>
      <c r="J10" s="10" t="str">
        <f t="shared" si="3"/>
        <v>Electronics</v>
      </c>
      <c r="K10" s="11" t="str">
        <f t="shared" si="4"/>
        <v>07-JUN</v>
      </c>
      <c r="L10" s="10" t="s">
        <v>42</v>
      </c>
      <c r="M10" s="40" t="str">
        <f t="shared" si="5"/>
        <v>HeadphonesSony</v>
      </c>
      <c r="N10" s="41">
        <f t="shared" si="6"/>
        <v>46180</v>
      </c>
      <c r="P10" s="26"/>
    </row>
    <row r="11" spans="1:17" ht="15.75" customHeight="1" x14ac:dyDescent="0.25">
      <c r="A11" s="6" t="s">
        <v>43</v>
      </c>
      <c r="B11" s="6" t="s">
        <v>44</v>
      </c>
      <c r="C11" s="6" t="s">
        <v>45</v>
      </c>
      <c r="D11" s="8">
        <v>30</v>
      </c>
      <c r="E11" s="6">
        <v>5</v>
      </c>
      <c r="F11" s="6" t="s">
        <v>28</v>
      </c>
      <c r="G11" s="9" t="b">
        <f t="shared" si="0"/>
        <v>0</v>
      </c>
      <c r="H11" s="9" t="str">
        <f t="shared" si="1"/>
        <v>Not Available</v>
      </c>
      <c r="I11" s="10" t="str">
        <f t="shared" si="2"/>
        <v>T-Shirt</v>
      </c>
      <c r="J11" s="10" t="str">
        <f t="shared" si="3"/>
        <v>Fashion</v>
      </c>
      <c r="K11" s="11" t="str">
        <f t="shared" si="4"/>
        <v>19-JUL</v>
      </c>
      <c r="L11" s="10" t="s">
        <v>42</v>
      </c>
      <c r="M11" s="40" t="str">
        <f t="shared" si="5"/>
        <v>T-shirtAdidas</v>
      </c>
      <c r="N11" s="41">
        <f t="shared" si="6"/>
        <v>46222</v>
      </c>
      <c r="P11" s="26"/>
    </row>
    <row r="12" spans="1:17" ht="15.75" customHeight="1" x14ac:dyDescent="0.25">
      <c r="A12" s="6" t="s">
        <v>46</v>
      </c>
      <c r="B12" s="6" t="s">
        <v>47</v>
      </c>
      <c r="C12" s="6" t="s">
        <v>48</v>
      </c>
      <c r="D12" s="8">
        <v>90</v>
      </c>
      <c r="E12" s="6">
        <v>35</v>
      </c>
      <c r="F12" s="6" t="s">
        <v>32</v>
      </c>
      <c r="G12" s="9" t="b">
        <f t="shared" si="0"/>
        <v>0</v>
      </c>
      <c r="H12" s="9" t="str">
        <f t="shared" si="1"/>
        <v>Not Available</v>
      </c>
      <c r="I12" s="10" t="str">
        <f t="shared" si="2"/>
        <v>Blender</v>
      </c>
      <c r="J12" s="10" t="str">
        <f t="shared" si="3"/>
        <v>Kitchen</v>
      </c>
      <c r="K12" s="11" t="str">
        <f t="shared" si="4"/>
        <v>23-AUG</v>
      </c>
      <c r="L12" s="10" t="s">
        <v>42</v>
      </c>
      <c r="M12" s="40" t="str">
        <f t="shared" si="5"/>
        <v>BlenderNinja</v>
      </c>
      <c r="N12" s="41">
        <f t="shared" si="6"/>
        <v>46257</v>
      </c>
      <c r="P12" s="26"/>
    </row>
    <row r="13" spans="1:17" ht="15.75" customHeight="1" x14ac:dyDescent="0.25">
      <c r="A13" s="6" t="s">
        <v>49</v>
      </c>
      <c r="B13" s="6" t="s">
        <v>50</v>
      </c>
      <c r="C13" s="6" t="s">
        <v>51</v>
      </c>
      <c r="D13" s="8">
        <v>500</v>
      </c>
      <c r="E13" s="6">
        <v>50</v>
      </c>
      <c r="F13" s="6" t="s">
        <v>23</v>
      </c>
      <c r="G13" s="9" t="b">
        <f t="shared" si="0"/>
        <v>0</v>
      </c>
      <c r="H13" s="9" t="str">
        <f t="shared" si="1"/>
        <v>Not Available</v>
      </c>
      <c r="I13" s="10" t="str">
        <f t="shared" si="2"/>
        <v>Tablet</v>
      </c>
      <c r="J13" s="10" t="str">
        <f t="shared" si="3"/>
        <v>Electronics</v>
      </c>
      <c r="K13" s="11" t="str">
        <f t="shared" si="4"/>
        <v>05-SEP</v>
      </c>
      <c r="L13" s="10" t="s">
        <v>42</v>
      </c>
      <c r="M13" s="40" t="str">
        <f t="shared" si="5"/>
        <v>TabletApple</v>
      </c>
      <c r="N13" s="41">
        <f t="shared" si="6"/>
        <v>46270</v>
      </c>
      <c r="P13" s="26"/>
    </row>
    <row r="14" spans="1:17" ht="15.75" customHeight="1" x14ac:dyDescent="0.25">
      <c r="A14" s="6" t="s">
        <v>52</v>
      </c>
      <c r="B14" s="6" t="s">
        <v>53</v>
      </c>
      <c r="C14" s="6" t="s">
        <v>54</v>
      </c>
      <c r="D14" s="8">
        <v>130</v>
      </c>
      <c r="E14" s="6">
        <v>10</v>
      </c>
      <c r="F14" s="6" t="s">
        <v>55</v>
      </c>
      <c r="G14" s="9" t="b">
        <f t="shared" si="0"/>
        <v>0</v>
      </c>
      <c r="H14" s="9" t="str">
        <f t="shared" si="1"/>
        <v>Not Available</v>
      </c>
      <c r="I14" s="10" t="str">
        <f t="shared" si="2"/>
        <v>Hiking Boots</v>
      </c>
      <c r="J14" s="10" t="str">
        <f t="shared" si="3"/>
        <v>Outdoor</v>
      </c>
      <c r="K14" s="11" t="str">
        <f t="shared" si="4"/>
        <v>14-OCT</v>
      </c>
      <c r="L14" s="10" t="s">
        <v>42</v>
      </c>
      <c r="M14" s="40" t="str">
        <f t="shared" si="5"/>
        <v>Hiking BootsTimberland</v>
      </c>
      <c r="N14" s="41">
        <f t="shared" si="6"/>
        <v>46309</v>
      </c>
      <c r="P14" s="26"/>
    </row>
    <row r="15" spans="1:17" ht="15.75" customHeight="1" x14ac:dyDescent="0.25">
      <c r="A15" s="6" t="s">
        <v>56</v>
      </c>
      <c r="B15" s="6" t="s">
        <v>21</v>
      </c>
      <c r="C15" s="6" t="s">
        <v>57</v>
      </c>
      <c r="D15" s="8">
        <v>950</v>
      </c>
      <c r="E15" s="6">
        <v>25</v>
      </c>
      <c r="F15" s="6" t="s">
        <v>23</v>
      </c>
      <c r="G15" s="9" t="b">
        <f t="shared" si="0"/>
        <v>0</v>
      </c>
      <c r="H15" s="9" t="str">
        <f t="shared" si="1"/>
        <v>Not Available</v>
      </c>
      <c r="I15" s="10" t="str">
        <f t="shared" si="2"/>
        <v>Laptop</v>
      </c>
      <c r="J15" s="10" t="str">
        <f t="shared" si="3"/>
        <v>Electronics</v>
      </c>
      <c r="K15" s="11" t="str">
        <f t="shared" si="4"/>
        <v>17-JUN</v>
      </c>
      <c r="L15" s="10" t="s">
        <v>58</v>
      </c>
      <c r="M15" s="40" t="str">
        <f t="shared" si="5"/>
        <v>LaptopHP</v>
      </c>
      <c r="N15" s="41">
        <f t="shared" si="6"/>
        <v>46190</v>
      </c>
      <c r="P15" s="26"/>
    </row>
    <row r="16" spans="1:17" ht="15.75" customHeight="1" x14ac:dyDescent="0.25">
      <c r="A16" s="6" t="s">
        <v>59</v>
      </c>
      <c r="B16" s="6" t="s">
        <v>26</v>
      </c>
      <c r="C16" s="6" t="s">
        <v>45</v>
      </c>
      <c r="D16" s="8">
        <v>90</v>
      </c>
      <c r="E16" s="6">
        <v>40</v>
      </c>
      <c r="F16" s="6"/>
      <c r="G16" s="9" t="b">
        <f t="shared" si="0"/>
        <v>0</v>
      </c>
      <c r="H16" s="9" t="str">
        <f t="shared" si="1"/>
        <v>Aavailable</v>
      </c>
      <c r="I16" s="10" t="str">
        <f t="shared" si="2"/>
        <v>Sneakers</v>
      </c>
      <c r="J16" s="10" t="str">
        <f t="shared" si="3"/>
        <v/>
      </c>
      <c r="K16" s="11" t="str">
        <f t="shared" si="4"/>
        <v>25-NOV</v>
      </c>
      <c r="L16" s="10" t="s">
        <v>60</v>
      </c>
      <c r="M16" s="40" t="str">
        <f t="shared" si="5"/>
        <v>SneakersAdidas</v>
      </c>
      <c r="N16" s="41">
        <f t="shared" si="6"/>
        <v>46351</v>
      </c>
      <c r="P16" s="26"/>
    </row>
    <row r="17" spans="1:16" ht="15.75" customHeight="1" x14ac:dyDescent="0.25">
      <c r="A17" s="6" t="s">
        <v>61</v>
      </c>
      <c r="B17" s="6" t="s">
        <v>30</v>
      </c>
      <c r="C17" s="6" t="s">
        <v>62</v>
      </c>
      <c r="D17" s="8">
        <v>120</v>
      </c>
      <c r="E17" s="6">
        <v>35</v>
      </c>
      <c r="F17" s="6"/>
      <c r="G17" s="9" t="b">
        <f t="shared" si="0"/>
        <v>0</v>
      </c>
      <c r="H17" s="9" t="str">
        <f t="shared" si="1"/>
        <v>Aavailable</v>
      </c>
      <c r="I17" s="10" t="str">
        <f t="shared" si="2"/>
        <v>Coffee Maker</v>
      </c>
      <c r="J17" s="10" t="str">
        <f t="shared" si="3"/>
        <v/>
      </c>
      <c r="K17" s="11" t="str">
        <f t="shared" si="4"/>
        <v>08-DEC</v>
      </c>
      <c r="L17" s="10" t="s">
        <v>63</v>
      </c>
      <c r="M17" s="40" t="str">
        <f t="shared" si="5"/>
        <v>Coffee MakerNespresso</v>
      </c>
      <c r="N17" s="41">
        <f t="shared" si="6"/>
        <v>46364</v>
      </c>
      <c r="P17" s="26"/>
    </row>
    <row r="18" spans="1:16" ht="15.75" customHeight="1" x14ac:dyDescent="0.25">
      <c r="A18" s="6" t="s">
        <v>64</v>
      </c>
      <c r="B18" s="6" t="s">
        <v>65</v>
      </c>
      <c r="C18" s="6" t="s">
        <v>66</v>
      </c>
      <c r="D18" s="8">
        <v>150</v>
      </c>
      <c r="E18" s="6">
        <v>15</v>
      </c>
      <c r="F18" s="6" t="s">
        <v>23</v>
      </c>
      <c r="G18" s="9" t="b">
        <f t="shared" si="0"/>
        <v>0</v>
      </c>
      <c r="H18" s="9" t="str">
        <f t="shared" si="1"/>
        <v>Not Available</v>
      </c>
      <c r="I18" s="10" t="str">
        <f t="shared" si="2"/>
        <v>Smartwatch</v>
      </c>
      <c r="J18" s="10" t="str">
        <f t="shared" si="3"/>
        <v>Electronics</v>
      </c>
      <c r="K18" s="11" t="str">
        <f t="shared" si="4"/>
        <v>18-FEB</v>
      </c>
      <c r="L18" s="10" t="s">
        <v>67</v>
      </c>
      <c r="M18" s="40" t="str">
        <f t="shared" si="5"/>
        <v>SmartwatchFitbit</v>
      </c>
      <c r="N18" s="41">
        <f t="shared" si="6"/>
        <v>46071</v>
      </c>
      <c r="P18" s="26"/>
    </row>
    <row r="19" spans="1:16" ht="15.75" customHeight="1" x14ac:dyDescent="0.25">
      <c r="A19" s="6" t="s">
        <v>68</v>
      </c>
      <c r="B19" s="6" t="s">
        <v>69</v>
      </c>
      <c r="C19" s="6" t="s">
        <v>70</v>
      </c>
      <c r="D19" s="8">
        <v>250</v>
      </c>
      <c r="E19" s="6">
        <v>20</v>
      </c>
      <c r="F19" s="6" t="s">
        <v>23</v>
      </c>
      <c r="G19" s="9" t="b">
        <f t="shared" si="0"/>
        <v>0</v>
      </c>
      <c r="H19" s="9" t="str">
        <f t="shared" si="1"/>
        <v>Not Available</v>
      </c>
      <c r="I19" s="10" t="str">
        <f t="shared" si="2"/>
        <v>Headphones</v>
      </c>
      <c r="J19" s="10" t="str">
        <f t="shared" si="3"/>
        <v>Electronics</v>
      </c>
      <c r="K19" s="11" t="str">
        <f t="shared" si="4"/>
        <v>16-APR</v>
      </c>
      <c r="L19" s="10" t="s">
        <v>71</v>
      </c>
      <c r="M19" s="40" t="str">
        <f t="shared" si="5"/>
        <v>headphonesBose</v>
      </c>
      <c r="N19" s="41">
        <f t="shared" si="6"/>
        <v>46128</v>
      </c>
      <c r="P19" s="26"/>
    </row>
    <row r="20" spans="1:16" ht="15.75" customHeight="1" x14ac:dyDescent="0.25">
      <c r="A20" s="6" t="s">
        <v>72</v>
      </c>
      <c r="B20" s="6" t="s">
        <v>73</v>
      </c>
      <c r="C20" s="6" t="s">
        <v>74</v>
      </c>
      <c r="D20" s="8">
        <v>50</v>
      </c>
      <c r="E20" s="6">
        <v>35</v>
      </c>
      <c r="F20" s="6" t="s">
        <v>75</v>
      </c>
      <c r="G20" s="9" t="b">
        <f t="shared" si="0"/>
        <v>0</v>
      </c>
      <c r="H20" s="9" t="str">
        <f t="shared" si="1"/>
        <v>Not Available</v>
      </c>
      <c r="I20" s="10" t="str">
        <f t="shared" si="2"/>
        <v>Laptop Bag</v>
      </c>
      <c r="J20" s="10" t="str">
        <f t="shared" si="3"/>
        <v>Accessories</v>
      </c>
      <c r="K20" s="11" t="str">
        <f t="shared" si="4"/>
        <v>21-AUG</v>
      </c>
      <c r="L20" s="10" t="s">
        <v>67</v>
      </c>
      <c r="M20" s="40" t="str">
        <f t="shared" si="5"/>
        <v>Laptop BagSamsonite</v>
      </c>
      <c r="N20" s="41">
        <f t="shared" si="6"/>
        <v>46255</v>
      </c>
      <c r="P20" s="26"/>
    </row>
    <row r="21" spans="1:16" ht="15.75" customHeight="1" x14ac:dyDescent="0.25">
      <c r="A21" s="6" t="s">
        <v>76</v>
      </c>
      <c r="B21" s="6" t="s">
        <v>65</v>
      </c>
      <c r="C21" s="6" t="s">
        <v>77</v>
      </c>
      <c r="D21" s="8">
        <v>160</v>
      </c>
      <c r="E21" s="6">
        <v>15</v>
      </c>
      <c r="F21" s="6" t="s">
        <v>23</v>
      </c>
      <c r="G21" s="9" t="b">
        <f t="shared" si="0"/>
        <v>0</v>
      </c>
      <c r="H21" s="9" t="str">
        <f t="shared" si="1"/>
        <v>Not Available</v>
      </c>
      <c r="I21" s="10" t="str">
        <f t="shared" si="2"/>
        <v>Smartwatch</v>
      </c>
      <c r="J21" s="10" t="str">
        <f t="shared" si="3"/>
        <v>Electronics</v>
      </c>
      <c r="K21" s="11" t="str">
        <f t="shared" si="4"/>
        <v>20-AUG</v>
      </c>
      <c r="L21" s="10" t="s">
        <v>78</v>
      </c>
      <c r="M21" s="40" t="str">
        <f t="shared" si="5"/>
        <v>SmartwatchHuawei</v>
      </c>
      <c r="N21" s="41">
        <f t="shared" si="6"/>
        <v>46254</v>
      </c>
      <c r="P21" s="26"/>
    </row>
    <row r="22" spans="1:16" ht="15.75" customHeight="1" x14ac:dyDescent="0.25">
      <c r="A22" s="6" t="s">
        <v>79</v>
      </c>
      <c r="B22" s="6" t="s">
        <v>21</v>
      </c>
      <c r="C22" s="6" t="s">
        <v>80</v>
      </c>
      <c r="D22" s="8">
        <v>980</v>
      </c>
      <c r="E22" s="6">
        <v>10</v>
      </c>
      <c r="F22" s="6" t="s">
        <v>23</v>
      </c>
      <c r="G22" s="9" t="b">
        <f t="shared" si="0"/>
        <v>0</v>
      </c>
      <c r="H22" s="9" t="str">
        <f t="shared" si="1"/>
        <v>Not Available</v>
      </c>
      <c r="I22" s="10" t="str">
        <f t="shared" si="2"/>
        <v>Laptop</v>
      </c>
      <c r="J22" s="10" t="str">
        <f t="shared" si="3"/>
        <v>Electronics</v>
      </c>
      <c r="K22" s="11" t="str">
        <f t="shared" si="4"/>
        <v>27-JAN</v>
      </c>
      <c r="L22" s="10" t="s">
        <v>81</v>
      </c>
      <c r="M22" s="40" t="str">
        <f t="shared" si="5"/>
        <v>LaptopAsus</v>
      </c>
      <c r="N22" s="41">
        <f t="shared" si="6"/>
        <v>46049</v>
      </c>
      <c r="P22" s="26"/>
    </row>
    <row r="23" spans="1:16" ht="15.75" customHeight="1" x14ac:dyDescent="0.25">
      <c r="A23" s="6" t="s">
        <v>82</v>
      </c>
      <c r="B23" s="6" t="s">
        <v>83</v>
      </c>
      <c r="C23" s="6" t="s">
        <v>84</v>
      </c>
      <c r="D23" s="8">
        <v>150</v>
      </c>
      <c r="E23" s="6">
        <v>15</v>
      </c>
      <c r="F23" s="6" t="s">
        <v>28</v>
      </c>
      <c r="G23" s="9" t="b">
        <f t="shared" si="0"/>
        <v>0</v>
      </c>
      <c r="H23" s="9" t="str">
        <f t="shared" si="1"/>
        <v>Not Available</v>
      </c>
      <c r="I23" s="10" t="str">
        <f t="shared" si="2"/>
        <v>Sunglasses</v>
      </c>
      <c r="J23" s="10" t="str">
        <f t="shared" si="3"/>
        <v>Fashion</v>
      </c>
      <c r="K23" s="11" t="str">
        <f t="shared" si="4"/>
        <v>01-MAR</v>
      </c>
      <c r="L23" s="10" t="s">
        <v>42</v>
      </c>
      <c r="M23" s="40" t="str">
        <f t="shared" si="5"/>
        <v>SunglassesOakley</v>
      </c>
      <c r="N23" s="41">
        <f t="shared" si="6"/>
        <v>46082</v>
      </c>
      <c r="P23" s="26"/>
    </row>
    <row r="24" spans="1:16" ht="15.75" customHeight="1" x14ac:dyDescent="0.25">
      <c r="A24" s="6" t="s">
        <v>85</v>
      </c>
      <c r="B24" s="6" t="s">
        <v>86</v>
      </c>
      <c r="C24" s="6" t="s">
        <v>87</v>
      </c>
      <c r="D24" s="8"/>
      <c r="E24" s="6">
        <v>10</v>
      </c>
      <c r="F24" s="6" t="s">
        <v>55</v>
      </c>
      <c r="G24" s="9" t="b">
        <f t="shared" si="0"/>
        <v>1</v>
      </c>
      <c r="H24" s="9" t="str">
        <f t="shared" si="1"/>
        <v>Not Available</v>
      </c>
      <c r="I24" s="10" t="str">
        <f t="shared" si="2"/>
        <v>Camping Tent</v>
      </c>
      <c r="J24" s="10" t="str">
        <f t="shared" si="3"/>
        <v>Outdoor</v>
      </c>
      <c r="K24" s="11" t="str">
        <f t="shared" si="4"/>
        <v>14-AUG</v>
      </c>
      <c r="L24" s="10" t="s">
        <v>24</v>
      </c>
      <c r="M24" s="40" t="str">
        <f t="shared" si="5"/>
        <v>Camping TentColeman</v>
      </c>
      <c r="N24" s="41">
        <f t="shared" si="6"/>
        <v>46248</v>
      </c>
      <c r="P24" s="26"/>
    </row>
    <row r="25" spans="1:16" ht="15.75" customHeight="1" x14ac:dyDescent="0.25">
      <c r="A25" s="6" t="s">
        <v>88</v>
      </c>
      <c r="B25" s="6" t="s">
        <v>89</v>
      </c>
      <c r="C25" s="6" t="s">
        <v>90</v>
      </c>
      <c r="D25" s="8">
        <v>700</v>
      </c>
      <c r="E25" s="6">
        <v>50</v>
      </c>
      <c r="F25" s="6" t="s">
        <v>23</v>
      </c>
      <c r="G25" s="9" t="b">
        <f t="shared" si="0"/>
        <v>0</v>
      </c>
      <c r="H25" s="9" t="str">
        <f t="shared" si="1"/>
        <v>Not Available</v>
      </c>
      <c r="I25" s="10" t="str">
        <f t="shared" si="2"/>
        <v>Camera</v>
      </c>
      <c r="J25" s="10" t="str">
        <f t="shared" si="3"/>
        <v>Electronics</v>
      </c>
      <c r="K25" s="11" t="str">
        <f t="shared" si="4"/>
        <v>14-MAY</v>
      </c>
      <c r="L25" s="10" t="s">
        <v>91</v>
      </c>
      <c r="M25" s="40" t="str">
        <f t="shared" si="5"/>
        <v>CameraNikon</v>
      </c>
      <c r="N25" s="41">
        <f t="shared" si="6"/>
        <v>46156</v>
      </c>
      <c r="P25" s="26"/>
    </row>
    <row r="26" spans="1:16" ht="15.75" customHeight="1" x14ac:dyDescent="0.25">
      <c r="A26" s="6" t="s">
        <v>92</v>
      </c>
      <c r="B26" s="6" t="s">
        <v>93</v>
      </c>
      <c r="C26" s="6" t="s">
        <v>94</v>
      </c>
      <c r="D26" s="8">
        <v>80</v>
      </c>
      <c r="E26" s="6">
        <v>20</v>
      </c>
      <c r="F26" s="6" t="s">
        <v>32</v>
      </c>
      <c r="G26" s="9" t="b">
        <f t="shared" si="0"/>
        <v>0</v>
      </c>
      <c r="H26" s="9" t="str">
        <f t="shared" si="1"/>
        <v>Not Available</v>
      </c>
      <c r="I26" s="10" t="str">
        <f t="shared" si="2"/>
        <v>Microwave</v>
      </c>
      <c r="J26" s="10" t="str">
        <f t="shared" si="3"/>
        <v>Kitchen</v>
      </c>
      <c r="K26" s="11" t="str">
        <f t="shared" si="4"/>
        <v>09-JAN</v>
      </c>
      <c r="L26" s="10" t="s">
        <v>67</v>
      </c>
      <c r="M26" s="40" t="str">
        <f t="shared" si="5"/>
        <v>MicrowavePanasonic</v>
      </c>
      <c r="N26" s="41">
        <f t="shared" si="6"/>
        <v>46031</v>
      </c>
      <c r="P26" s="26"/>
    </row>
    <row r="27" spans="1:16" ht="15.75" customHeight="1" x14ac:dyDescent="0.25">
      <c r="A27" s="6" t="s">
        <v>95</v>
      </c>
      <c r="B27" s="6" t="s">
        <v>96</v>
      </c>
      <c r="C27" s="6" t="s">
        <v>97</v>
      </c>
      <c r="D27" s="8">
        <v>150</v>
      </c>
      <c r="E27" s="6">
        <v>30</v>
      </c>
      <c r="F27" s="6"/>
      <c r="G27" s="9" t="b">
        <f t="shared" si="0"/>
        <v>0</v>
      </c>
      <c r="H27" s="9" t="str">
        <f t="shared" si="1"/>
        <v>Aavailable</v>
      </c>
      <c r="I27" s="10" t="str">
        <f t="shared" si="2"/>
        <v>Fitness Tracker</v>
      </c>
      <c r="J27" s="10" t="str">
        <f t="shared" si="3"/>
        <v/>
      </c>
      <c r="K27" s="11" t="str">
        <f t="shared" si="4"/>
        <v>19-JUL</v>
      </c>
      <c r="L27" s="10" t="s">
        <v>98</v>
      </c>
      <c r="M27" s="40" t="str">
        <f t="shared" si="5"/>
        <v>Fitness TrackerXiaomi</v>
      </c>
      <c r="N27" s="41">
        <f t="shared" si="6"/>
        <v>46222</v>
      </c>
      <c r="P27" s="26"/>
    </row>
    <row r="28" spans="1:16" ht="15.75" customHeight="1" x14ac:dyDescent="0.25">
      <c r="A28" s="6" t="s">
        <v>72</v>
      </c>
      <c r="B28" s="6" t="s">
        <v>73</v>
      </c>
      <c r="C28" s="6" t="s">
        <v>74</v>
      </c>
      <c r="D28" s="8">
        <v>50</v>
      </c>
      <c r="E28" s="6">
        <v>35</v>
      </c>
      <c r="F28" s="6" t="s">
        <v>75</v>
      </c>
      <c r="G28" s="9" t="b">
        <f t="shared" si="0"/>
        <v>0</v>
      </c>
      <c r="H28" s="9" t="str">
        <f t="shared" si="1"/>
        <v>Not Available</v>
      </c>
      <c r="I28" s="10" t="str">
        <f t="shared" si="2"/>
        <v>Laptop Bag</v>
      </c>
      <c r="J28" s="10" t="str">
        <f t="shared" si="3"/>
        <v>Accessories</v>
      </c>
      <c r="K28" s="11" t="str">
        <f t="shared" si="4"/>
        <v>21-AUG</v>
      </c>
      <c r="L28" s="10" t="s">
        <v>67</v>
      </c>
      <c r="M28" s="40" t="str">
        <f t="shared" si="5"/>
        <v>Laptop BagSamsonite</v>
      </c>
      <c r="N28" s="41">
        <f t="shared" si="6"/>
        <v>46255</v>
      </c>
      <c r="P28" s="26"/>
    </row>
    <row r="29" spans="1:16" ht="15.75" customHeight="1" x14ac:dyDescent="0.25">
      <c r="A29" s="6" t="s">
        <v>99</v>
      </c>
      <c r="B29" s="6" t="s">
        <v>100</v>
      </c>
      <c r="C29" s="6" t="s">
        <v>101</v>
      </c>
      <c r="D29" s="8">
        <v>800</v>
      </c>
      <c r="E29" s="6">
        <v>45</v>
      </c>
      <c r="F29" s="6" t="s">
        <v>23</v>
      </c>
      <c r="G29" s="9" t="b">
        <f t="shared" si="0"/>
        <v>0</v>
      </c>
      <c r="H29" s="9" t="str">
        <f t="shared" si="1"/>
        <v>Not Available</v>
      </c>
      <c r="I29" s="10" t="str">
        <f t="shared" si="2"/>
        <v>Smartphone</v>
      </c>
      <c r="J29" s="10" t="str">
        <f t="shared" si="3"/>
        <v>Electronics</v>
      </c>
      <c r="K29" s="11" t="str">
        <f t="shared" si="4"/>
        <v>29-SEP</v>
      </c>
      <c r="L29" s="10" t="s">
        <v>67</v>
      </c>
      <c r="M29" s="40" t="str">
        <f t="shared" si="5"/>
        <v>SmartphoneGoogle</v>
      </c>
      <c r="N29" s="41">
        <f t="shared" si="6"/>
        <v>46294</v>
      </c>
      <c r="P29" s="26"/>
    </row>
    <row r="30" spans="1:16" ht="15.75" customHeight="1" x14ac:dyDescent="0.25">
      <c r="A30" s="6" t="s">
        <v>102</v>
      </c>
      <c r="B30" s="6" t="s">
        <v>83</v>
      </c>
      <c r="C30" s="6" t="s">
        <v>103</v>
      </c>
      <c r="D30" s="8"/>
      <c r="E30" s="6">
        <v>25</v>
      </c>
      <c r="F30" s="6" t="s">
        <v>28</v>
      </c>
      <c r="G30" s="9" t="b">
        <f t="shared" si="0"/>
        <v>1</v>
      </c>
      <c r="H30" s="9" t="str">
        <f t="shared" si="1"/>
        <v>Not Available</v>
      </c>
      <c r="I30" s="10" t="str">
        <f t="shared" si="2"/>
        <v>Sunglasses</v>
      </c>
      <c r="J30" s="10" t="str">
        <f t="shared" si="3"/>
        <v>Fashion</v>
      </c>
      <c r="K30" s="11" t="str">
        <f t="shared" si="4"/>
        <v>03-JUN</v>
      </c>
      <c r="L30" s="10" t="s">
        <v>67</v>
      </c>
      <c r="M30" s="40" t="str">
        <f t="shared" si="5"/>
        <v>SunglassesRay-Ban</v>
      </c>
      <c r="N30" s="41">
        <f t="shared" si="6"/>
        <v>46176</v>
      </c>
      <c r="P30" s="26"/>
    </row>
    <row r="31" spans="1:16" ht="15.75" customHeight="1" x14ac:dyDescent="0.25">
      <c r="A31" s="6" t="s">
        <v>104</v>
      </c>
      <c r="B31" s="6" t="s">
        <v>47</v>
      </c>
      <c r="C31" s="6" t="s">
        <v>105</v>
      </c>
      <c r="D31" s="8">
        <v>400</v>
      </c>
      <c r="E31" s="6">
        <v>40</v>
      </c>
      <c r="F31" s="6" t="s">
        <v>32</v>
      </c>
      <c r="G31" s="9" t="b">
        <f t="shared" si="0"/>
        <v>0</v>
      </c>
      <c r="H31" s="9" t="str">
        <f t="shared" si="1"/>
        <v>Not Available</v>
      </c>
      <c r="I31" s="10" t="str">
        <f t="shared" si="2"/>
        <v>Blender</v>
      </c>
      <c r="J31" s="10" t="str">
        <f t="shared" si="3"/>
        <v>Kitchen</v>
      </c>
      <c r="K31" s="11" t="str">
        <f t="shared" si="4"/>
        <v>11-JUL</v>
      </c>
      <c r="L31" s="10" t="s">
        <v>67</v>
      </c>
      <c r="M31" s="40" t="str">
        <f t="shared" si="5"/>
        <v>BlenderVitamix</v>
      </c>
      <c r="N31" s="41">
        <f t="shared" si="6"/>
        <v>46214</v>
      </c>
      <c r="P31" s="26"/>
    </row>
    <row r="32" spans="1:16" ht="15.75" customHeight="1" x14ac:dyDescent="0.25">
      <c r="A32" s="6" t="s">
        <v>68</v>
      </c>
      <c r="B32" s="6" t="s">
        <v>40</v>
      </c>
      <c r="C32" s="6" t="s">
        <v>70</v>
      </c>
      <c r="D32" s="8">
        <v>250</v>
      </c>
      <c r="E32" s="6">
        <v>20</v>
      </c>
      <c r="F32" s="6" t="s">
        <v>23</v>
      </c>
      <c r="G32" s="9" t="b">
        <f t="shared" si="0"/>
        <v>0</v>
      </c>
      <c r="H32" s="9" t="str">
        <f t="shared" si="1"/>
        <v>Not Available</v>
      </c>
      <c r="I32" s="10" t="str">
        <f t="shared" si="2"/>
        <v>Headphones</v>
      </c>
      <c r="J32" s="10" t="str">
        <f t="shared" si="3"/>
        <v>Electronics</v>
      </c>
      <c r="K32" s="11" t="str">
        <f t="shared" si="4"/>
        <v>16-APR</v>
      </c>
      <c r="L32" s="10" t="s">
        <v>71</v>
      </c>
      <c r="M32" s="40" t="str">
        <f t="shared" si="5"/>
        <v>HeadphonesBose</v>
      </c>
      <c r="N32" s="41">
        <f t="shared" si="6"/>
        <v>46128</v>
      </c>
      <c r="P32" s="26"/>
    </row>
    <row r="33" spans="1:16" ht="15.75" customHeight="1" x14ac:dyDescent="0.25">
      <c r="A33" s="6" t="s">
        <v>106</v>
      </c>
      <c r="B33" s="6" t="s">
        <v>107</v>
      </c>
      <c r="C33" s="6" t="s">
        <v>108</v>
      </c>
      <c r="D33" s="8">
        <v>60</v>
      </c>
      <c r="E33" s="6">
        <v>30</v>
      </c>
      <c r="F33" s="6" t="s">
        <v>28</v>
      </c>
      <c r="G33" s="9" t="b">
        <f t="shared" si="0"/>
        <v>0</v>
      </c>
      <c r="H33" s="9" t="str">
        <f t="shared" si="1"/>
        <v>Not Available</v>
      </c>
      <c r="I33" s="10" t="str">
        <f t="shared" si="2"/>
        <v>Dress</v>
      </c>
      <c r="J33" s="10" t="str">
        <f t="shared" si="3"/>
        <v>Fashion</v>
      </c>
      <c r="K33" s="11" t="str">
        <f t="shared" si="4"/>
        <v>07-MAR</v>
      </c>
      <c r="L33" s="10" t="s">
        <v>67</v>
      </c>
      <c r="M33" s="40" t="str">
        <f t="shared" si="5"/>
        <v>DressZara</v>
      </c>
      <c r="N33" s="41">
        <f t="shared" si="6"/>
        <v>46088</v>
      </c>
      <c r="P33" s="26"/>
    </row>
    <row r="34" spans="1:16" ht="15.75" customHeight="1" x14ac:dyDescent="0.25">
      <c r="A34" s="6" t="s">
        <v>109</v>
      </c>
      <c r="B34" s="6" t="s">
        <v>110</v>
      </c>
      <c r="C34" s="6" t="s">
        <v>111</v>
      </c>
      <c r="D34" s="8">
        <v>40</v>
      </c>
      <c r="E34" s="6">
        <v>10</v>
      </c>
      <c r="F34" s="6" t="s">
        <v>32</v>
      </c>
      <c r="G34" s="9" t="b">
        <f t="shared" si="0"/>
        <v>0</v>
      </c>
      <c r="H34" s="9" t="str">
        <f t="shared" si="1"/>
        <v>Not Available</v>
      </c>
      <c r="I34" s="10" t="str">
        <f t="shared" si="2"/>
        <v>Toaster</v>
      </c>
      <c r="J34" s="10" t="str">
        <f t="shared" si="3"/>
        <v>Kitchen</v>
      </c>
      <c r="K34" s="11" t="str">
        <f t="shared" si="4"/>
        <v>13-APR</v>
      </c>
      <c r="L34" s="10" t="s">
        <v>67</v>
      </c>
      <c r="M34" s="40" t="str">
        <f t="shared" si="5"/>
        <v>ToasterHamilton</v>
      </c>
      <c r="N34" s="41">
        <f t="shared" si="6"/>
        <v>46125</v>
      </c>
      <c r="P34" s="26"/>
    </row>
    <row r="35" spans="1:16" ht="15.75" customHeight="1" x14ac:dyDescent="0.25">
      <c r="A35" s="6" t="s">
        <v>112</v>
      </c>
      <c r="B35" s="6" t="s">
        <v>96</v>
      </c>
      <c r="C35" s="6" t="s">
        <v>113</v>
      </c>
      <c r="D35" s="8">
        <v>130</v>
      </c>
      <c r="E35" s="6">
        <v>5</v>
      </c>
      <c r="F35" s="6" t="s">
        <v>23</v>
      </c>
      <c r="G35" s="9" t="b">
        <f t="shared" si="0"/>
        <v>0</v>
      </c>
      <c r="H35" s="9" t="str">
        <f t="shared" si="1"/>
        <v>Not Available</v>
      </c>
      <c r="I35" s="10" t="str">
        <f t="shared" si="2"/>
        <v>Fitness Tracker</v>
      </c>
      <c r="J35" s="10" t="str">
        <f t="shared" si="3"/>
        <v>Electronics</v>
      </c>
      <c r="K35" s="11" t="str">
        <f t="shared" si="4"/>
        <v>24-MAY</v>
      </c>
      <c r="L35" s="10" t="s">
        <v>67</v>
      </c>
      <c r="M35" s="40" t="str">
        <f t="shared" si="5"/>
        <v>Fitness TrackerGarmin</v>
      </c>
      <c r="N35" s="41">
        <f t="shared" si="6"/>
        <v>46166</v>
      </c>
      <c r="P35" s="26"/>
    </row>
    <row r="36" spans="1:16" ht="15.75" customHeight="1" x14ac:dyDescent="0.25">
      <c r="A36" s="6" t="s">
        <v>114</v>
      </c>
      <c r="B36" s="6" t="s">
        <v>115</v>
      </c>
      <c r="C36" s="6" t="s">
        <v>116</v>
      </c>
      <c r="D36" s="8">
        <v>50</v>
      </c>
      <c r="E36" s="6">
        <v>50</v>
      </c>
      <c r="F36" s="6" t="s">
        <v>28</v>
      </c>
      <c r="G36" s="9" t="b">
        <f t="shared" si="0"/>
        <v>0</v>
      </c>
      <c r="H36" s="9" t="str">
        <f t="shared" si="1"/>
        <v>Not Available</v>
      </c>
      <c r="I36" s="10" t="str">
        <f t="shared" si="2"/>
        <v>Jeans</v>
      </c>
      <c r="J36" s="10" t="str">
        <f t="shared" si="3"/>
        <v>Fashion</v>
      </c>
      <c r="K36" s="11" t="str">
        <f t="shared" si="4"/>
        <v>02-DEC</v>
      </c>
      <c r="L36" s="10" t="s">
        <v>67</v>
      </c>
      <c r="M36" s="40" t="str">
        <f t="shared" si="5"/>
        <v>JeansLevi's</v>
      </c>
      <c r="N36" s="41">
        <f t="shared" si="6"/>
        <v>46358</v>
      </c>
      <c r="P36" s="26"/>
    </row>
    <row r="37" spans="1:16" ht="15.75" customHeight="1" x14ac:dyDescent="0.25">
      <c r="A37" s="6" t="s">
        <v>56</v>
      </c>
      <c r="B37" s="6" t="s">
        <v>21</v>
      </c>
      <c r="C37" s="6" t="s">
        <v>57</v>
      </c>
      <c r="D37" s="8">
        <v>950</v>
      </c>
      <c r="E37" s="6">
        <v>25</v>
      </c>
      <c r="F37" s="6" t="s">
        <v>23</v>
      </c>
      <c r="G37" s="9" t="b">
        <f t="shared" si="0"/>
        <v>0</v>
      </c>
      <c r="H37" s="9" t="str">
        <f t="shared" si="1"/>
        <v>Not Available</v>
      </c>
      <c r="I37" s="10" t="str">
        <f t="shared" si="2"/>
        <v>Laptop</v>
      </c>
      <c r="J37" s="10" t="str">
        <f t="shared" si="3"/>
        <v>Electronics</v>
      </c>
      <c r="K37" s="11" t="str">
        <f t="shared" si="4"/>
        <v>17-JUN</v>
      </c>
      <c r="L37" s="10" t="s">
        <v>58</v>
      </c>
      <c r="M37" s="40" t="str">
        <f t="shared" si="5"/>
        <v>LaptopHP</v>
      </c>
      <c r="N37" s="41">
        <f t="shared" si="6"/>
        <v>46190</v>
      </c>
      <c r="P37" s="26"/>
    </row>
    <row r="38" spans="1:16" ht="15.75" customHeight="1" x14ac:dyDescent="0.25">
      <c r="A38" s="6" t="s">
        <v>117</v>
      </c>
      <c r="B38" s="6" t="s">
        <v>118</v>
      </c>
      <c r="C38" s="6" t="s">
        <v>119</v>
      </c>
      <c r="D38" s="8">
        <v>100</v>
      </c>
      <c r="E38" s="6">
        <v>20</v>
      </c>
      <c r="F38" s="6" t="s">
        <v>75</v>
      </c>
      <c r="G38" s="9" t="b">
        <f t="shared" si="0"/>
        <v>0</v>
      </c>
      <c r="H38" s="9" t="str">
        <f t="shared" si="1"/>
        <v>Not Available</v>
      </c>
      <c r="I38" s="10" t="str">
        <f t="shared" si="2"/>
        <v>Watch</v>
      </c>
      <c r="J38" s="10" t="str">
        <f t="shared" si="3"/>
        <v>Accessories</v>
      </c>
      <c r="K38" s="11" t="str">
        <f t="shared" si="4"/>
        <v>09-JUL</v>
      </c>
      <c r="L38" s="10" t="s">
        <v>120</v>
      </c>
      <c r="M38" s="40" t="str">
        <f t="shared" si="5"/>
        <v>WatchCasio</v>
      </c>
      <c r="N38" s="41">
        <f t="shared" si="6"/>
        <v>46212</v>
      </c>
      <c r="P38" s="26"/>
    </row>
    <row r="39" spans="1:16" ht="15.75" customHeight="1" x14ac:dyDescent="0.25">
      <c r="A39" s="12"/>
      <c r="B39" s="12"/>
      <c r="C39" s="12"/>
      <c r="D39" s="12"/>
      <c r="E39" s="12"/>
      <c r="F39" s="12"/>
      <c r="G39" s="12"/>
      <c r="H39" s="12"/>
      <c r="I39" s="12" t="str">
        <f t="shared" si="2"/>
        <v/>
      </c>
      <c r="J39" s="12"/>
      <c r="K39" s="12"/>
      <c r="L39" s="12"/>
      <c r="M39" s="12"/>
    </row>
    <row r="40" spans="1:16" ht="15.75" customHeight="1" x14ac:dyDescent="0.25">
      <c r="A40" s="12"/>
      <c r="B40" s="12"/>
      <c r="C40" s="12"/>
      <c r="D40" s="12"/>
      <c r="E40" s="12"/>
      <c r="F40" s="12"/>
      <c r="G40" s="12"/>
      <c r="H40" s="12"/>
      <c r="I40" s="12" t="str">
        <f t="shared" si="2"/>
        <v/>
      </c>
      <c r="J40" s="12"/>
      <c r="K40" s="12"/>
      <c r="L40" s="12"/>
      <c r="M40" s="12"/>
    </row>
    <row r="41" spans="1:16" ht="15.75" customHeight="1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</row>
    <row r="42" spans="1:16" ht="15.75" customHeight="1" x14ac:dyDescent="0.3">
      <c r="A42" s="13" t="s">
        <v>121</v>
      </c>
      <c r="B42" s="14"/>
      <c r="C42" s="14"/>
      <c r="D42" s="14"/>
      <c r="E42" s="14"/>
      <c r="F42" s="15"/>
      <c r="G42" s="15">
        <f>COUNTBLANK(D5:D38)</f>
        <v>3</v>
      </c>
      <c r="H42" s="15"/>
      <c r="I42" s="12"/>
      <c r="J42" s="12"/>
      <c r="K42" s="12"/>
      <c r="L42" s="12"/>
      <c r="M42" s="12"/>
    </row>
    <row r="43" spans="1:16" ht="15.75" customHeight="1" x14ac:dyDescent="0.25">
      <c r="A43" s="13" t="s">
        <v>122</v>
      </c>
      <c r="B43" s="14"/>
      <c r="C43" s="14"/>
      <c r="D43" s="14"/>
      <c r="E43" s="14"/>
      <c r="F43" s="14"/>
      <c r="G43" s="16">
        <f>MEDIAN(D5:D38)</f>
        <v>130</v>
      </c>
      <c r="H43" s="16"/>
      <c r="I43" s="12"/>
      <c r="J43" s="12"/>
      <c r="K43" s="12"/>
      <c r="L43" s="12"/>
      <c r="M43" s="12"/>
    </row>
    <row r="44" spans="1:16" ht="15.75" customHeight="1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</row>
    <row r="45" spans="1:16" ht="15.75" customHeight="1" x14ac:dyDescent="0.25">
      <c r="A45" s="17" t="s">
        <v>123</v>
      </c>
      <c r="B45" s="14"/>
      <c r="C45" s="14"/>
      <c r="D45" s="14"/>
      <c r="E45" s="14"/>
      <c r="F45" s="14"/>
      <c r="G45" s="18">
        <f>MODE(D5:D38)</f>
        <v>130</v>
      </c>
      <c r="H45" s="12"/>
      <c r="I45" s="12"/>
      <c r="J45" s="12"/>
      <c r="K45" s="12"/>
      <c r="L45" s="12"/>
      <c r="M45" s="12"/>
    </row>
    <row r="46" spans="1:16" ht="15.75" customHeight="1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</row>
    <row r="47" spans="1:16" ht="16.5" customHeight="1" x14ac:dyDescent="0.25">
      <c r="A47" s="1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12"/>
    </row>
    <row r="48" spans="1:16" ht="15.75" customHeight="1" x14ac:dyDescent="0.25">
      <c r="A48" s="23" t="s">
        <v>124</v>
      </c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12"/>
    </row>
    <row r="49" spans="1:13" ht="15.75" customHeight="1" x14ac:dyDescent="0.2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2"/>
    </row>
    <row r="50" spans="1:13" ht="15.75" customHeight="1" x14ac:dyDescent="0.25">
      <c r="A50" s="20" t="s">
        <v>125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12"/>
      <c r="M50" s="12"/>
    </row>
    <row r="51" spans="1:13" ht="15.75" customHeight="1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</row>
    <row r="52" spans="1:13" ht="15.75" customHeight="1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</row>
    <row r="53" spans="1:13" ht="15.75" customHeight="1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</row>
    <row r="54" spans="1:13" ht="15.75" customHeight="1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</row>
    <row r="55" spans="1:13" ht="15.75" customHeight="1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</row>
    <row r="56" spans="1:13" ht="15.75" customHeight="1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</row>
    <row r="57" spans="1:13" ht="15.75" customHeight="1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</row>
    <row r="58" spans="1:13" ht="15.75" customHeight="1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</row>
    <row r="59" spans="1:13" ht="15.75" customHeight="1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</row>
    <row r="60" spans="1:13" ht="15.75" customHeight="1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</row>
    <row r="61" spans="1:13" ht="15.75" customHeight="1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</row>
    <row r="62" spans="1:13" ht="15.75" customHeight="1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</row>
    <row r="63" spans="1:13" ht="15.75" customHeight="1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</row>
    <row r="64" spans="1:13" ht="15.75" customHeight="1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</row>
    <row r="65" spans="1:13" ht="15.75" customHeight="1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</row>
    <row r="66" spans="1:13" ht="15.75" customHeight="1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</row>
    <row r="67" spans="1:13" ht="15.75" customHeight="1" x14ac:dyDescent="0.2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</row>
    <row r="68" spans="1:13" ht="15.75" customHeight="1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</row>
    <row r="69" spans="1:13" ht="15.75" customHeight="1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</row>
    <row r="70" spans="1:13" ht="15.75" customHeight="1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</row>
    <row r="71" spans="1:13" ht="15.75" customHeight="1" x14ac:dyDescent="0.2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</row>
    <row r="72" spans="1:13" ht="15.75" customHeight="1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</row>
    <row r="73" spans="1:13" ht="15.75" customHeight="1" x14ac:dyDescent="0.2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</row>
    <row r="74" spans="1:13" ht="15.75" customHeight="1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</row>
    <row r="75" spans="1:13" ht="15.75" customHeight="1" x14ac:dyDescent="0.2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</row>
    <row r="76" spans="1:13" ht="15.75" customHeight="1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</row>
    <row r="77" spans="1:13" ht="15.75" customHeight="1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</row>
    <row r="78" spans="1:13" ht="15.75" customHeight="1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</row>
    <row r="79" spans="1:13" ht="15.75" customHeight="1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spans="1:13" ht="15.75" customHeight="1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1:13" ht="15.75" customHeight="1" x14ac:dyDescent="0.2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</row>
    <row r="82" spans="1:13" ht="15.75" customHeight="1" x14ac:dyDescent="0.2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 spans="1:13" ht="15.75" customHeight="1" x14ac:dyDescent="0.2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</row>
    <row r="84" spans="1:13" ht="15.75" customHeight="1" x14ac:dyDescent="0.2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5" spans="1:13" ht="15.75" customHeight="1" x14ac:dyDescent="0.2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</row>
    <row r="86" spans="1:13" ht="15.75" customHeight="1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spans="1:13" ht="15.75" customHeight="1" x14ac:dyDescent="0.2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</row>
    <row r="88" spans="1:13" ht="15.75" customHeight="1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</row>
    <row r="89" spans="1:13" ht="15.75" customHeight="1" x14ac:dyDescent="0.2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</row>
    <row r="90" spans="1:13" ht="15.75" customHeight="1" x14ac:dyDescent="0.2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</row>
    <row r="91" spans="1:13" ht="15.75" customHeight="1" x14ac:dyDescent="0.2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</row>
    <row r="92" spans="1:13" ht="15.75" customHeight="1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</row>
    <row r="93" spans="1:13" ht="15.75" customHeight="1" x14ac:dyDescent="0.2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</row>
    <row r="94" spans="1:13" ht="15.75" customHeight="1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</row>
    <row r="95" spans="1:13" ht="15.75" customHeight="1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</row>
    <row r="96" spans="1:13" ht="15.7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</row>
    <row r="97" spans="1:13" ht="15.75" customHeight="1" x14ac:dyDescent="0.2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</row>
    <row r="98" spans="1:13" ht="15.75" customHeight="1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spans="1:13" ht="15.75" customHeight="1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</row>
    <row r="100" spans="1:13" ht="15.75" customHeight="1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</row>
    <row r="101" spans="1:13" ht="15.75" customHeight="1" x14ac:dyDescent="0.2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</row>
    <row r="102" spans="1:13" ht="15.75" customHeight="1" x14ac:dyDescent="0.2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</row>
    <row r="103" spans="1:13" ht="15.75" customHeight="1" x14ac:dyDescent="0.2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</row>
    <row r="104" spans="1:13" ht="15.75" customHeight="1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</row>
    <row r="105" spans="1:13" ht="15.75" customHeight="1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</row>
    <row r="106" spans="1:13" ht="15.75" customHeight="1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</row>
    <row r="107" spans="1:13" ht="15.75" customHeight="1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</row>
    <row r="108" spans="1:13" ht="15.75" customHeight="1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</row>
    <row r="109" spans="1:13" ht="15.75" customHeight="1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</row>
    <row r="110" spans="1:13" ht="15.75" customHeight="1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</row>
    <row r="111" spans="1:13" ht="15.75" customHeight="1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</row>
    <row r="112" spans="1:13" ht="15.75" customHeight="1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</row>
    <row r="113" spans="1:13" ht="15.75" customHeight="1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</row>
    <row r="114" spans="1:13" ht="15.75" customHeight="1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</row>
    <row r="115" spans="1:13" ht="15.75" customHeight="1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</row>
    <row r="116" spans="1:13" ht="15.75" customHeight="1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</row>
    <row r="117" spans="1:13" ht="15.75" customHeight="1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</row>
    <row r="118" spans="1:13" ht="15.75" customHeight="1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</row>
    <row r="119" spans="1:13" ht="15.75" customHeight="1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</row>
    <row r="120" spans="1:13" ht="15.75" customHeight="1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</row>
    <row r="121" spans="1:13" ht="15.75" customHeight="1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</row>
    <row r="122" spans="1:13" ht="15.75" customHeight="1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</row>
    <row r="123" spans="1:13" ht="15.75" customHeight="1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</row>
    <row r="124" spans="1:13" ht="15.75" customHeight="1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</row>
    <row r="125" spans="1:13" ht="15.75" customHeight="1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</row>
    <row r="126" spans="1:13" ht="15.75" customHeight="1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</row>
    <row r="127" spans="1:13" ht="15.75" customHeight="1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</row>
    <row r="128" spans="1:13" ht="15.75" customHeight="1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</row>
    <row r="129" spans="1:13" ht="15.75" customHeight="1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</row>
    <row r="130" spans="1:13" ht="15.75" customHeight="1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</row>
    <row r="131" spans="1:13" ht="15.75" customHeight="1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</row>
    <row r="132" spans="1:13" ht="15.75" customHeight="1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</row>
    <row r="133" spans="1:13" ht="15.75" customHeight="1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</row>
    <row r="134" spans="1:13" ht="15.75" customHeight="1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</row>
    <row r="135" spans="1:13" ht="15.75" customHeight="1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</row>
    <row r="136" spans="1:13" ht="15.75" customHeight="1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</row>
    <row r="137" spans="1:13" ht="15.75" customHeight="1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</row>
    <row r="138" spans="1:13" ht="15.75" customHeight="1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</row>
    <row r="139" spans="1:13" ht="15.75" customHeight="1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</row>
    <row r="140" spans="1:13" ht="15.75" customHeight="1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</row>
    <row r="141" spans="1:13" ht="15.75" customHeight="1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</row>
    <row r="142" spans="1:13" ht="15.75" customHeight="1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</row>
    <row r="143" spans="1:13" ht="15.75" customHeight="1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</row>
    <row r="144" spans="1:13" ht="15.75" customHeight="1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</row>
    <row r="145" spans="1:13" ht="15.75" customHeight="1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</row>
    <row r="146" spans="1:13" ht="15.75" customHeight="1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</row>
    <row r="147" spans="1:13" ht="15.75" customHeight="1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</row>
    <row r="148" spans="1:13" ht="15.75" customHeight="1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</row>
    <row r="149" spans="1:13" ht="15.75" customHeight="1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</row>
    <row r="150" spans="1:13" ht="15.75" customHeight="1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</row>
    <row r="151" spans="1:13" ht="15.75" customHeight="1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</row>
    <row r="152" spans="1:13" ht="15.75" customHeight="1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</row>
    <row r="153" spans="1:13" ht="15.75" customHeight="1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</row>
    <row r="154" spans="1:13" ht="15.75" customHeight="1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</row>
    <row r="155" spans="1:13" ht="15.75" customHeight="1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</row>
    <row r="156" spans="1:13" ht="15.75" customHeight="1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</row>
    <row r="157" spans="1:13" ht="15.75" customHeight="1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</row>
    <row r="158" spans="1:13" ht="15.75" customHeight="1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</row>
    <row r="159" spans="1:13" ht="15.75" customHeight="1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</row>
    <row r="160" spans="1:13" ht="15.75" customHeight="1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</row>
    <row r="161" spans="1:13" ht="15.75" customHeight="1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</row>
    <row r="162" spans="1:13" ht="15.75" customHeight="1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</row>
    <row r="163" spans="1:13" ht="15.75" customHeight="1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</row>
    <row r="164" spans="1:13" ht="15.75" customHeight="1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</row>
    <row r="165" spans="1:13" ht="15.75" customHeight="1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</row>
    <row r="166" spans="1:13" ht="15.75" customHeight="1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</row>
    <row r="167" spans="1:13" ht="15.75" customHeight="1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</row>
    <row r="168" spans="1:13" ht="15.75" customHeight="1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</row>
    <row r="169" spans="1:13" ht="15.75" customHeight="1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</row>
    <row r="170" spans="1:13" ht="15.75" customHeight="1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</row>
    <row r="171" spans="1:13" ht="15.75" customHeight="1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</row>
    <row r="172" spans="1:13" ht="15.75" customHeight="1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</row>
    <row r="173" spans="1:13" ht="15.75" customHeight="1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</row>
    <row r="174" spans="1:13" ht="15.75" customHeight="1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</row>
    <row r="175" spans="1:13" ht="15.75" customHeight="1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</row>
    <row r="176" spans="1:13" ht="15.75" customHeight="1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</row>
    <row r="177" spans="1:13" ht="15.75" customHeight="1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</row>
    <row r="178" spans="1:13" ht="15.75" customHeight="1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</row>
    <row r="179" spans="1:13" ht="15.75" customHeight="1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</row>
    <row r="180" spans="1:13" ht="15.75" customHeight="1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</row>
    <row r="181" spans="1:13" ht="15.75" customHeight="1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</row>
    <row r="182" spans="1:13" ht="15.75" customHeight="1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</row>
    <row r="183" spans="1:13" ht="15.75" customHeight="1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</row>
    <row r="184" spans="1:13" ht="15.75" customHeight="1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</row>
    <row r="185" spans="1:13" ht="15.75" customHeight="1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</row>
    <row r="186" spans="1:13" ht="15.75" customHeight="1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</row>
    <row r="187" spans="1:13" ht="15.75" customHeight="1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</row>
    <row r="188" spans="1:13" ht="15.75" customHeight="1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</row>
    <row r="189" spans="1:13" ht="15.75" customHeight="1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</row>
    <row r="190" spans="1:13" ht="15.75" customHeight="1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</row>
    <row r="191" spans="1:13" ht="15.75" customHeight="1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</row>
    <row r="192" spans="1:13" ht="15.75" customHeight="1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</row>
    <row r="193" spans="1:13" ht="15.75" customHeight="1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</row>
    <row r="194" spans="1:13" ht="15.75" customHeight="1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</row>
    <row r="195" spans="1:13" ht="15.75" customHeight="1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</row>
    <row r="196" spans="1:13" ht="15.75" customHeight="1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</row>
    <row r="197" spans="1:13" ht="15.75" customHeight="1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</row>
    <row r="198" spans="1:13" ht="15.75" customHeight="1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</row>
    <row r="199" spans="1:13" ht="15.75" customHeight="1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</row>
    <row r="200" spans="1:13" ht="15.75" customHeight="1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</row>
    <row r="201" spans="1:13" ht="15.75" customHeight="1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</row>
    <row r="202" spans="1:13" ht="15.75" customHeight="1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</row>
    <row r="203" spans="1:13" ht="15.75" customHeight="1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</row>
    <row r="204" spans="1:13" ht="15.75" customHeight="1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</row>
    <row r="205" spans="1:13" ht="15.75" customHeight="1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</row>
    <row r="206" spans="1:13" ht="15.75" customHeight="1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</row>
    <row r="207" spans="1:13" ht="15.75" customHeight="1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</row>
    <row r="208" spans="1:13" ht="15.75" customHeight="1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</row>
    <row r="209" spans="1:13" ht="15.75" customHeight="1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</row>
    <row r="210" spans="1:13" ht="15.75" customHeight="1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</row>
    <row r="211" spans="1:13" ht="15.75" customHeight="1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</row>
    <row r="212" spans="1:13" ht="15.75" customHeight="1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</row>
    <row r="213" spans="1:13" ht="15.75" customHeight="1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</row>
    <row r="214" spans="1:13" ht="15.75" customHeight="1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</row>
    <row r="215" spans="1:13" ht="15.75" customHeight="1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</row>
    <row r="216" spans="1:13" ht="15.75" customHeight="1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</row>
    <row r="217" spans="1:13" ht="15.75" customHeight="1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</row>
    <row r="218" spans="1:13" ht="15.75" customHeight="1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</row>
    <row r="219" spans="1:13" ht="15.75" customHeight="1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</row>
    <row r="220" spans="1:13" ht="15.75" customHeight="1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</row>
    <row r="221" spans="1:13" ht="15.75" customHeight="1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</row>
    <row r="222" spans="1:13" ht="15.75" customHeight="1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</row>
    <row r="223" spans="1:13" ht="15.75" customHeight="1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</row>
    <row r="224" spans="1:13" ht="15.75" customHeight="1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</row>
    <row r="225" spans="1:13" ht="15.75" customHeight="1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</row>
    <row r="226" spans="1:13" ht="15.75" customHeight="1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</row>
    <row r="227" spans="1:13" ht="15.75" customHeight="1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</row>
    <row r="228" spans="1:13" ht="15.75" customHeight="1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</row>
    <row r="229" spans="1:13" ht="15.75" customHeight="1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</row>
    <row r="230" spans="1:13" ht="15.75" customHeight="1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</row>
    <row r="231" spans="1:13" ht="15.75" customHeight="1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</row>
    <row r="232" spans="1:13" ht="15.75" customHeight="1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</row>
    <row r="233" spans="1:13" ht="15.75" customHeight="1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</row>
    <row r="234" spans="1:13" ht="15.75" customHeight="1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</row>
    <row r="235" spans="1:13" ht="15.75" customHeight="1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</row>
    <row r="236" spans="1:13" ht="15.75" customHeight="1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</row>
    <row r="237" spans="1:13" ht="15.75" customHeight="1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</row>
    <row r="238" spans="1:13" ht="15.75" customHeight="1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</row>
    <row r="239" spans="1:13" ht="15.75" customHeight="1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</row>
    <row r="240" spans="1:13" ht="15.75" customHeight="1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</row>
    <row r="241" spans="1:13" ht="15.75" customHeight="1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</row>
    <row r="242" spans="1:13" ht="15.75" customHeight="1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</row>
    <row r="243" spans="1:13" ht="15.75" customHeight="1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</row>
    <row r="244" spans="1:13" ht="15.75" customHeight="1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</row>
    <row r="245" spans="1:13" ht="15.75" customHeight="1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</row>
    <row r="246" spans="1:13" ht="15.75" customHeight="1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</row>
    <row r="247" spans="1:13" ht="15.75" customHeight="1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</row>
    <row r="248" spans="1:13" ht="15.75" customHeight="1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</row>
    <row r="249" spans="1:13" ht="15.75" customHeight="1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</row>
    <row r="250" spans="1:13" ht="15.75" customHeight="1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</row>
    <row r="251" spans="1:13" ht="15.75" customHeight="1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</row>
    <row r="252" spans="1:13" ht="15.75" customHeight="1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</row>
    <row r="253" spans="1:13" ht="15.75" customHeight="1" x14ac:dyDescent="0.2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</row>
    <row r="254" spans="1:13" ht="15.75" customHeight="1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</row>
    <row r="255" spans="1:13" ht="15.75" customHeight="1" x14ac:dyDescent="0.2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</row>
    <row r="256" spans="1:13" ht="15.75" customHeight="1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</row>
    <row r="257" spans="1:13" ht="15.75" customHeight="1" x14ac:dyDescent="0.2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</row>
    <row r="258" spans="1:13" ht="15.75" customHeight="1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</row>
    <row r="259" spans="1:13" ht="15.75" customHeight="1" x14ac:dyDescent="0.2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</row>
    <row r="260" spans="1:13" ht="15.75" customHeight="1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</row>
    <row r="261" spans="1:13" ht="15.75" customHeight="1" x14ac:dyDescent="0.2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</row>
    <row r="262" spans="1:13" ht="15.75" customHeight="1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</row>
    <row r="263" spans="1:13" ht="15.75" customHeight="1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</row>
    <row r="264" spans="1:13" ht="15.75" customHeight="1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</row>
    <row r="265" spans="1:13" ht="15.75" customHeight="1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</row>
    <row r="266" spans="1:13" ht="15.75" customHeight="1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</row>
    <row r="267" spans="1:13" ht="15.75" customHeight="1" x14ac:dyDescent="0.2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</row>
    <row r="268" spans="1:13" ht="15.75" customHeight="1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</row>
    <row r="269" spans="1:13" ht="15.75" customHeight="1" x14ac:dyDescent="0.2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</row>
    <row r="270" spans="1:13" ht="15.75" customHeight="1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</row>
    <row r="271" spans="1:13" ht="15.75" customHeight="1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</row>
    <row r="272" spans="1:13" ht="15.75" customHeight="1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</row>
    <row r="273" spans="1:13" ht="15.75" customHeight="1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</row>
    <row r="274" spans="1:13" ht="15.75" customHeight="1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</row>
    <row r="275" spans="1:13" ht="15.75" customHeight="1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</row>
    <row r="276" spans="1:13" ht="15.75" customHeight="1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</row>
    <row r="277" spans="1:13" ht="15.75" customHeight="1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</row>
    <row r="278" spans="1:13" ht="15.75" customHeight="1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</row>
    <row r="279" spans="1:13" ht="15.75" customHeight="1" x14ac:dyDescent="0.2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</row>
    <row r="280" spans="1:13" ht="15.75" customHeight="1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</row>
    <row r="281" spans="1:13" ht="15.75" customHeight="1" x14ac:dyDescent="0.2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</row>
    <row r="282" spans="1:13" ht="15.75" customHeight="1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</row>
    <row r="283" spans="1:13" ht="15.75" customHeight="1" x14ac:dyDescent="0.2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</row>
    <row r="284" spans="1:13" ht="15.75" customHeight="1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</row>
    <row r="285" spans="1:13" ht="15.75" customHeight="1" x14ac:dyDescent="0.2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</row>
    <row r="286" spans="1:13" ht="15.75" customHeight="1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</row>
    <row r="287" spans="1:13" ht="15.75" customHeight="1" x14ac:dyDescent="0.2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</row>
    <row r="288" spans="1:13" ht="15.75" customHeight="1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</row>
    <row r="289" spans="1:13" ht="15.75" customHeight="1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</row>
    <row r="290" spans="1:13" ht="15.75" customHeight="1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</row>
    <row r="291" spans="1:13" ht="15.75" customHeight="1" x14ac:dyDescent="0.2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</row>
    <row r="292" spans="1:13" ht="15.75" customHeight="1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</row>
    <row r="293" spans="1:13" ht="15.75" customHeight="1" x14ac:dyDescent="0.2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</row>
    <row r="294" spans="1:13" ht="15.75" customHeight="1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</row>
    <row r="295" spans="1:13" ht="15.75" customHeight="1" x14ac:dyDescent="0.2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</row>
    <row r="296" spans="1:13" ht="15.75" customHeight="1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</row>
    <row r="297" spans="1:13" ht="15.75" customHeight="1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</row>
    <row r="298" spans="1:13" ht="15.75" customHeight="1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</row>
    <row r="299" spans="1:13" ht="15.75" customHeight="1" x14ac:dyDescent="0.2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</row>
    <row r="300" spans="1:13" ht="15.75" customHeight="1" x14ac:dyDescent="0.2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</row>
    <row r="301" spans="1:13" ht="15.75" customHeight="1" x14ac:dyDescent="0.2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</row>
    <row r="302" spans="1:13" ht="15.75" customHeight="1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</row>
    <row r="303" spans="1:13" ht="15.75" customHeight="1" x14ac:dyDescent="0.2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</row>
    <row r="304" spans="1:13" ht="15.75" customHeight="1" x14ac:dyDescent="0.2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</row>
    <row r="305" spans="1:13" ht="15.75" customHeight="1" x14ac:dyDescent="0.2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</row>
    <row r="306" spans="1:13" ht="15.75" customHeight="1" x14ac:dyDescent="0.2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</row>
    <row r="307" spans="1:13" ht="15.75" customHeight="1" x14ac:dyDescent="0.2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</row>
    <row r="308" spans="1:13" ht="15.75" customHeight="1" x14ac:dyDescent="0.2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</row>
    <row r="309" spans="1:13" ht="15.75" customHeight="1" x14ac:dyDescent="0.2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</row>
    <row r="310" spans="1:13" ht="15.75" customHeight="1" x14ac:dyDescent="0.2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</row>
    <row r="311" spans="1:13" ht="15.75" customHeight="1" x14ac:dyDescent="0.2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</row>
    <row r="312" spans="1:13" ht="15.75" customHeight="1" x14ac:dyDescent="0.2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</row>
    <row r="313" spans="1:13" ht="15.75" customHeight="1" x14ac:dyDescent="0.2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</row>
    <row r="314" spans="1:13" ht="15.75" customHeight="1" x14ac:dyDescent="0.2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</row>
    <row r="315" spans="1:13" ht="15.75" customHeight="1" x14ac:dyDescent="0.2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</row>
    <row r="316" spans="1:13" ht="15.75" customHeight="1" x14ac:dyDescent="0.2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</row>
    <row r="317" spans="1:13" ht="15.75" customHeight="1" x14ac:dyDescent="0.2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</row>
    <row r="318" spans="1:13" ht="15.75" customHeight="1" x14ac:dyDescent="0.2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</row>
    <row r="319" spans="1:13" ht="15.75" customHeight="1" x14ac:dyDescent="0.2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</row>
    <row r="320" spans="1:13" ht="15.75" customHeight="1" x14ac:dyDescent="0.2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</row>
    <row r="321" spans="1:13" ht="15.75" customHeight="1" x14ac:dyDescent="0.2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</row>
    <row r="322" spans="1:13" ht="15.75" customHeight="1" x14ac:dyDescent="0.2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</row>
    <row r="323" spans="1:13" ht="15.75" customHeight="1" x14ac:dyDescent="0.2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</row>
    <row r="324" spans="1:13" ht="15.75" customHeight="1" x14ac:dyDescent="0.2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</row>
    <row r="325" spans="1:13" ht="15.75" customHeight="1" x14ac:dyDescent="0.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</row>
    <row r="326" spans="1:13" ht="15.75" customHeight="1" x14ac:dyDescent="0.2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</row>
    <row r="327" spans="1:13" ht="15.75" customHeight="1" x14ac:dyDescent="0.2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</row>
    <row r="328" spans="1:13" ht="15.75" customHeight="1" x14ac:dyDescent="0.2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</row>
    <row r="329" spans="1:13" ht="15.75" customHeight="1" x14ac:dyDescent="0.2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</row>
    <row r="330" spans="1:13" ht="15.75" customHeight="1" x14ac:dyDescent="0.2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</row>
    <row r="331" spans="1:13" ht="15.75" customHeight="1" x14ac:dyDescent="0.2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</row>
    <row r="332" spans="1:13" ht="15.75" customHeight="1" x14ac:dyDescent="0.2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</row>
    <row r="333" spans="1:13" ht="15.75" customHeight="1" x14ac:dyDescent="0.2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</row>
    <row r="334" spans="1:13" ht="15.75" customHeight="1" x14ac:dyDescent="0.2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</row>
    <row r="335" spans="1:13" ht="15.75" customHeight="1" x14ac:dyDescent="0.2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</row>
    <row r="336" spans="1:13" ht="15.75" customHeight="1" x14ac:dyDescent="0.2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</row>
    <row r="337" spans="1:13" ht="15.75" customHeight="1" x14ac:dyDescent="0.2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</row>
    <row r="338" spans="1:13" ht="15.75" customHeight="1" x14ac:dyDescent="0.2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</row>
    <row r="339" spans="1:13" ht="15.75" customHeight="1" x14ac:dyDescent="0.2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</row>
    <row r="340" spans="1:13" ht="15.75" customHeight="1" x14ac:dyDescent="0.2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</row>
    <row r="341" spans="1:13" ht="15.75" customHeight="1" x14ac:dyDescent="0.2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</row>
    <row r="342" spans="1:13" ht="15.75" customHeight="1" x14ac:dyDescent="0.2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</row>
    <row r="343" spans="1:13" ht="15.75" customHeight="1" x14ac:dyDescent="0.2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</row>
    <row r="344" spans="1:13" ht="15.75" customHeight="1" x14ac:dyDescent="0.2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</row>
    <row r="345" spans="1:13" ht="15.75" customHeight="1" x14ac:dyDescent="0.2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</row>
    <row r="346" spans="1:13" ht="15.75" customHeight="1" x14ac:dyDescent="0.2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</row>
    <row r="347" spans="1:13" ht="15.75" customHeight="1" x14ac:dyDescent="0.2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</row>
    <row r="348" spans="1:13" ht="15.75" customHeight="1" x14ac:dyDescent="0.2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</row>
    <row r="349" spans="1:13" ht="15.75" customHeight="1" x14ac:dyDescent="0.2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</row>
    <row r="350" spans="1:13" ht="15.75" customHeight="1" x14ac:dyDescent="0.2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</row>
    <row r="351" spans="1:13" ht="15.75" customHeight="1" x14ac:dyDescent="0.2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</row>
    <row r="352" spans="1:13" ht="15.75" customHeight="1" x14ac:dyDescent="0.2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</row>
    <row r="353" spans="1:13" ht="15.75" customHeight="1" x14ac:dyDescent="0.2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</row>
    <row r="354" spans="1:13" ht="15.75" customHeight="1" x14ac:dyDescent="0.2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</row>
    <row r="355" spans="1:13" ht="15.75" customHeight="1" x14ac:dyDescent="0.2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</row>
    <row r="356" spans="1:13" ht="15.75" customHeight="1" x14ac:dyDescent="0.2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</row>
    <row r="357" spans="1:13" ht="15.75" customHeight="1" x14ac:dyDescent="0.2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</row>
    <row r="358" spans="1:13" ht="15.75" customHeight="1" x14ac:dyDescent="0.2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</row>
    <row r="359" spans="1:13" ht="15.75" customHeight="1" x14ac:dyDescent="0.2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</row>
    <row r="360" spans="1:13" ht="15.75" customHeight="1" x14ac:dyDescent="0.2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</row>
    <row r="361" spans="1:13" ht="15.75" customHeight="1" x14ac:dyDescent="0.2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</row>
    <row r="362" spans="1:13" ht="15.75" customHeight="1" x14ac:dyDescent="0.2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</row>
    <row r="363" spans="1:13" ht="15.75" customHeight="1" x14ac:dyDescent="0.2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</row>
    <row r="364" spans="1:13" ht="15.75" customHeight="1" x14ac:dyDescent="0.2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</row>
    <row r="365" spans="1:13" ht="15.75" customHeight="1" x14ac:dyDescent="0.2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</row>
    <row r="366" spans="1:13" ht="15.75" customHeight="1" x14ac:dyDescent="0.2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</row>
    <row r="367" spans="1:13" ht="15.75" customHeight="1" x14ac:dyDescent="0.2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</row>
    <row r="368" spans="1:13" ht="15.75" customHeight="1" x14ac:dyDescent="0.2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</row>
    <row r="369" spans="1:13" ht="15.75" customHeight="1" x14ac:dyDescent="0.2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</row>
    <row r="370" spans="1:13" ht="15.75" customHeight="1" x14ac:dyDescent="0.2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</row>
    <row r="371" spans="1:13" ht="15.75" customHeight="1" x14ac:dyDescent="0.2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</row>
    <row r="372" spans="1:13" ht="15.75" customHeight="1" x14ac:dyDescent="0.2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</row>
    <row r="373" spans="1:13" ht="15.75" customHeight="1" x14ac:dyDescent="0.2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</row>
    <row r="374" spans="1:13" ht="15.75" customHeight="1" x14ac:dyDescent="0.2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</row>
    <row r="375" spans="1:13" ht="15.75" customHeight="1" x14ac:dyDescent="0.2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</row>
    <row r="376" spans="1:13" ht="15.75" customHeight="1" x14ac:dyDescent="0.2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</row>
    <row r="377" spans="1:13" ht="15.75" customHeight="1" x14ac:dyDescent="0.2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</row>
    <row r="378" spans="1:13" ht="15.75" customHeight="1" x14ac:dyDescent="0.2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</row>
    <row r="379" spans="1:13" ht="15.75" customHeight="1" x14ac:dyDescent="0.2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</row>
    <row r="380" spans="1:13" ht="15.75" customHeight="1" x14ac:dyDescent="0.2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</row>
    <row r="381" spans="1:13" ht="15.75" customHeight="1" x14ac:dyDescent="0.2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</row>
    <row r="382" spans="1:13" ht="15.75" customHeight="1" x14ac:dyDescent="0.2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</row>
    <row r="383" spans="1:13" ht="15.75" customHeight="1" x14ac:dyDescent="0.2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</row>
    <row r="384" spans="1:13" ht="15.75" customHeight="1" x14ac:dyDescent="0.2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</row>
    <row r="385" spans="1:13" ht="15.75" customHeight="1" x14ac:dyDescent="0.2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</row>
    <row r="386" spans="1:13" ht="15.75" customHeight="1" x14ac:dyDescent="0.2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</row>
    <row r="387" spans="1:13" ht="15.75" customHeight="1" x14ac:dyDescent="0.2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</row>
    <row r="388" spans="1:13" ht="15.75" customHeight="1" x14ac:dyDescent="0.2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</row>
    <row r="389" spans="1:13" ht="15.75" customHeight="1" x14ac:dyDescent="0.2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</row>
    <row r="390" spans="1:13" ht="15.75" customHeight="1" x14ac:dyDescent="0.2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</row>
    <row r="391" spans="1:13" ht="15.75" customHeight="1" x14ac:dyDescent="0.2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</row>
    <row r="392" spans="1:13" ht="15.75" customHeight="1" x14ac:dyDescent="0.2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</row>
    <row r="393" spans="1:13" ht="15.75" customHeight="1" x14ac:dyDescent="0.2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</row>
    <row r="394" spans="1:13" ht="15.75" customHeight="1" x14ac:dyDescent="0.2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</row>
    <row r="395" spans="1:13" ht="15.75" customHeight="1" x14ac:dyDescent="0.2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</row>
    <row r="396" spans="1:13" ht="15.75" customHeight="1" x14ac:dyDescent="0.2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</row>
    <row r="397" spans="1:13" ht="15.75" customHeight="1" x14ac:dyDescent="0.2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</row>
    <row r="398" spans="1:13" ht="15.75" customHeight="1" x14ac:dyDescent="0.2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</row>
    <row r="399" spans="1:13" ht="15.75" customHeight="1" x14ac:dyDescent="0.2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</row>
    <row r="400" spans="1:13" ht="15.75" customHeight="1" x14ac:dyDescent="0.2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</row>
    <row r="401" spans="1:13" ht="15.75" customHeight="1" x14ac:dyDescent="0.2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</row>
    <row r="402" spans="1:13" ht="15.75" customHeight="1" x14ac:dyDescent="0.2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</row>
    <row r="403" spans="1:13" ht="15.75" customHeight="1" x14ac:dyDescent="0.2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</row>
    <row r="404" spans="1:13" ht="15.75" customHeight="1" x14ac:dyDescent="0.2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</row>
    <row r="405" spans="1:13" ht="15.75" customHeight="1" x14ac:dyDescent="0.2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</row>
    <row r="406" spans="1:13" ht="15.75" customHeight="1" x14ac:dyDescent="0.2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</row>
    <row r="407" spans="1:13" ht="15.75" customHeight="1" x14ac:dyDescent="0.2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</row>
    <row r="408" spans="1:13" ht="15.75" customHeight="1" x14ac:dyDescent="0.2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</row>
    <row r="409" spans="1:13" ht="15.75" customHeight="1" x14ac:dyDescent="0.2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</row>
    <row r="410" spans="1:13" ht="15.75" customHeight="1" x14ac:dyDescent="0.2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</row>
    <row r="411" spans="1:13" ht="15.75" customHeight="1" x14ac:dyDescent="0.2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</row>
    <row r="412" spans="1:13" ht="15.75" customHeight="1" x14ac:dyDescent="0.2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</row>
    <row r="413" spans="1:13" ht="15.75" customHeight="1" x14ac:dyDescent="0.2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</row>
    <row r="414" spans="1:13" ht="15.75" customHeight="1" x14ac:dyDescent="0.2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</row>
    <row r="415" spans="1:13" ht="15.75" customHeight="1" x14ac:dyDescent="0.2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</row>
    <row r="416" spans="1:13" ht="15.75" customHeight="1" x14ac:dyDescent="0.2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</row>
    <row r="417" spans="1:13" ht="15.75" customHeight="1" x14ac:dyDescent="0.2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</row>
    <row r="418" spans="1:13" ht="15.75" customHeight="1" x14ac:dyDescent="0.2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</row>
    <row r="419" spans="1:13" ht="15.75" customHeight="1" x14ac:dyDescent="0.2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</row>
    <row r="420" spans="1:13" ht="15.75" customHeight="1" x14ac:dyDescent="0.2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</row>
    <row r="421" spans="1:13" ht="15.75" customHeight="1" x14ac:dyDescent="0.2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</row>
    <row r="422" spans="1:13" ht="15.75" customHeight="1" x14ac:dyDescent="0.2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</row>
    <row r="423" spans="1:13" ht="15.75" customHeight="1" x14ac:dyDescent="0.2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</row>
    <row r="424" spans="1:13" ht="15.75" customHeight="1" x14ac:dyDescent="0.2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</row>
    <row r="425" spans="1:13" ht="15.75" customHeight="1" x14ac:dyDescent="0.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</row>
    <row r="426" spans="1:13" ht="15.75" customHeight="1" x14ac:dyDescent="0.2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</row>
    <row r="427" spans="1:13" ht="15.75" customHeight="1" x14ac:dyDescent="0.2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</row>
    <row r="428" spans="1:13" ht="15.75" customHeight="1" x14ac:dyDescent="0.2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</row>
    <row r="429" spans="1:13" ht="15.75" customHeight="1" x14ac:dyDescent="0.2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</row>
    <row r="430" spans="1:13" ht="15.75" customHeight="1" x14ac:dyDescent="0.2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</row>
    <row r="431" spans="1:13" ht="15.75" customHeight="1" x14ac:dyDescent="0.2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</row>
    <row r="432" spans="1:13" ht="15.75" customHeight="1" x14ac:dyDescent="0.2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</row>
    <row r="433" spans="1:13" ht="15.75" customHeight="1" x14ac:dyDescent="0.2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</row>
    <row r="434" spans="1:13" ht="15.75" customHeight="1" x14ac:dyDescent="0.2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</row>
    <row r="435" spans="1:13" ht="15.75" customHeight="1" x14ac:dyDescent="0.2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</row>
    <row r="436" spans="1:13" ht="15.75" customHeight="1" x14ac:dyDescent="0.2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</row>
    <row r="437" spans="1:13" ht="15.75" customHeight="1" x14ac:dyDescent="0.2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</row>
    <row r="438" spans="1:13" ht="15.75" customHeight="1" x14ac:dyDescent="0.2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</row>
    <row r="439" spans="1:13" ht="15.75" customHeight="1" x14ac:dyDescent="0.2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</row>
    <row r="440" spans="1:13" ht="15.75" customHeight="1" x14ac:dyDescent="0.2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</row>
    <row r="441" spans="1:13" ht="15.75" customHeight="1" x14ac:dyDescent="0.2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</row>
    <row r="442" spans="1:13" ht="15.75" customHeight="1" x14ac:dyDescent="0.2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</row>
    <row r="443" spans="1:13" ht="15.75" customHeight="1" x14ac:dyDescent="0.2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</row>
    <row r="444" spans="1:13" ht="15.75" customHeight="1" x14ac:dyDescent="0.2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</row>
    <row r="445" spans="1:13" ht="15.75" customHeight="1" x14ac:dyDescent="0.2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</row>
    <row r="446" spans="1:13" ht="15.75" customHeight="1" x14ac:dyDescent="0.2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</row>
    <row r="447" spans="1:13" ht="15.75" customHeight="1" x14ac:dyDescent="0.2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</row>
    <row r="448" spans="1:13" ht="15.75" customHeight="1" x14ac:dyDescent="0.2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</row>
    <row r="449" spans="1:13" ht="15.75" customHeight="1" x14ac:dyDescent="0.2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</row>
    <row r="450" spans="1:13" ht="15.75" customHeight="1" x14ac:dyDescent="0.2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</row>
    <row r="451" spans="1:13" ht="15.75" customHeight="1" x14ac:dyDescent="0.2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</row>
    <row r="452" spans="1:13" ht="15.75" customHeight="1" x14ac:dyDescent="0.2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</row>
    <row r="453" spans="1:13" ht="15.75" customHeight="1" x14ac:dyDescent="0.2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</row>
    <row r="454" spans="1:13" ht="15.75" customHeight="1" x14ac:dyDescent="0.2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</row>
    <row r="455" spans="1:13" ht="15.75" customHeight="1" x14ac:dyDescent="0.2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</row>
    <row r="456" spans="1:13" ht="15.75" customHeight="1" x14ac:dyDescent="0.2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</row>
    <row r="457" spans="1:13" ht="15.75" customHeight="1" x14ac:dyDescent="0.2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</row>
    <row r="458" spans="1:13" ht="15.75" customHeight="1" x14ac:dyDescent="0.2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</row>
    <row r="459" spans="1:13" ht="15.75" customHeight="1" x14ac:dyDescent="0.2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</row>
    <row r="460" spans="1:13" ht="15.75" customHeight="1" x14ac:dyDescent="0.2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</row>
    <row r="461" spans="1:13" ht="15.75" customHeight="1" x14ac:dyDescent="0.2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</row>
    <row r="462" spans="1:13" ht="15.75" customHeight="1" x14ac:dyDescent="0.2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</row>
    <row r="463" spans="1:13" ht="15.75" customHeight="1" x14ac:dyDescent="0.2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</row>
    <row r="464" spans="1:13" ht="15.75" customHeight="1" x14ac:dyDescent="0.2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</row>
    <row r="465" spans="1:13" ht="15.75" customHeight="1" x14ac:dyDescent="0.2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</row>
    <row r="466" spans="1:13" ht="15.75" customHeight="1" x14ac:dyDescent="0.2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</row>
    <row r="467" spans="1:13" ht="15.75" customHeight="1" x14ac:dyDescent="0.2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</row>
    <row r="468" spans="1:13" ht="15.75" customHeight="1" x14ac:dyDescent="0.2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</row>
    <row r="469" spans="1:13" ht="15.75" customHeight="1" x14ac:dyDescent="0.2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</row>
    <row r="470" spans="1:13" ht="15.75" customHeight="1" x14ac:dyDescent="0.2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</row>
    <row r="471" spans="1:13" ht="15.75" customHeight="1" x14ac:dyDescent="0.2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</row>
    <row r="472" spans="1:13" ht="15.75" customHeight="1" x14ac:dyDescent="0.2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</row>
    <row r="473" spans="1:13" ht="15.75" customHeight="1" x14ac:dyDescent="0.2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</row>
    <row r="474" spans="1:13" ht="15.75" customHeight="1" x14ac:dyDescent="0.2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</row>
    <row r="475" spans="1:13" ht="15.75" customHeight="1" x14ac:dyDescent="0.2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</row>
    <row r="476" spans="1:13" ht="15.75" customHeight="1" x14ac:dyDescent="0.2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</row>
    <row r="477" spans="1:13" ht="15.75" customHeight="1" x14ac:dyDescent="0.2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</row>
    <row r="478" spans="1:13" ht="15.75" customHeight="1" x14ac:dyDescent="0.2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</row>
    <row r="479" spans="1:13" ht="15.75" customHeight="1" x14ac:dyDescent="0.2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</row>
    <row r="480" spans="1:13" ht="15.75" customHeight="1" x14ac:dyDescent="0.2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</row>
    <row r="481" spans="1:13" ht="15.75" customHeight="1" x14ac:dyDescent="0.2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</row>
    <row r="482" spans="1:13" ht="15.75" customHeight="1" x14ac:dyDescent="0.2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</row>
    <row r="483" spans="1:13" ht="15.75" customHeight="1" x14ac:dyDescent="0.2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</row>
    <row r="484" spans="1:13" ht="15.75" customHeight="1" x14ac:dyDescent="0.2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</row>
    <row r="485" spans="1:13" ht="15.75" customHeight="1" x14ac:dyDescent="0.2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</row>
    <row r="486" spans="1:13" ht="15.75" customHeight="1" x14ac:dyDescent="0.2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</row>
    <row r="487" spans="1:13" ht="15.75" customHeight="1" x14ac:dyDescent="0.2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</row>
    <row r="488" spans="1:13" ht="15.75" customHeight="1" x14ac:dyDescent="0.2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</row>
    <row r="489" spans="1:13" ht="15.75" customHeight="1" x14ac:dyDescent="0.2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</row>
    <row r="490" spans="1:13" ht="15.75" customHeight="1" x14ac:dyDescent="0.2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</row>
    <row r="491" spans="1:13" ht="15.75" customHeight="1" x14ac:dyDescent="0.2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</row>
    <row r="492" spans="1:13" ht="15.75" customHeight="1" x14ac:dyDescent="0.2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</row>
    <row r="493" spans="1:13" ht="15.75" customHeight="1" x14ac:dyDescent="0.2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</row>
    <row r="494" spans="1:13" ht="15.75" customHeight="1" x14ac:dyDescent="0.2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</row>
    <row r="495" spans="1:13" ht="15.75" customHeight="1" x14ac:dyDescent="0.2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</row>
    <row r="496" spans="1:13" ht="15.75" customHeight="1" x14ac:dyDescent="0.2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</row>
    <row r="497" spans="1:13" ht="15.75" customHeight="1" x14ac:dyDescent="0.2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</row>
    <row r="498" spans="1:13" ht="15.75" customHeight="1" x14ac:dyDescent="0.2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</row>
    <row r="499" spans="1:13" ht="15.75" customHeight="1" x14ac:dyDescent="0.2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</row>
    <row r="500" spans="1:13" ht="15.75" customHeight="1" x14ac:dyDescent="0.2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</row>
    <row r="501" spans="1:13" ht="15.75" customHeight="1" x14ac:dyDescent="0.2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</row>
    <row r="502" spans="1:13" ht="15.75" customHeight="1" x14ac:dyDescent="0.2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</row>
    <row r="503" spans="1:13" ht="15.75" customHeight="1" x14ac:dyDescent="0.2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</row>
    <row r="504" spans="1:13" ht="15.75" customHeight="1" x14ac:dyDescent="0.2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</row>
    <row r="505" spans="1:13" ht="15.75" customHeight="1" x14ac:dyDescent="0.2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</row>
    <row r="506" spans="1:13" ht="15.75" customHeight="1" x14ac:dyDescent="0.2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</row>
    <row r="507" spans="1:13" ht="15.75" customHeight="1" x14ac:dyDescent="0.2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</row>
    <row r="508" spans="1:13" ht="15.75" customHeight="1" x14ac:dyDescent="0.2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</row>
    <row r="509" spans="1:13" ht="15.75" customHeight="1" x14ac:dyDescent="0.2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</row>
    <row r="510" spans="1:13" ht="15.75" customHeight="1" x14ac:dyDescent="0.2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</row>
    <row r="511" spans="1:13" ht="15.75" customHeight="1" x14ac:dyDescent="0.2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</row>
    <row r="512" spans="1:13" ht="15.75" customHeight="1" x14ac:dyDescent="0.2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</row>
    <row r="513" spans="1:13" ht="15.75" customHeight="1" x14ac:dyDescent="0.2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</row>
    <row r="514" spans="1:13" ht="15.75" customHeight="1" x14ac:dyDescent="0.2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</row>
    <row r="515" spans="1:13" ht="15.75" customHeight="1" x14ac:dyDescent="0.2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</row>
    <row r="516" spans="1:13" ht="15.75" customHeight="1" x14ac:dyDescent="0.2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</row>
    <row r="517" spans="1:13" ht="15.75" customHeight="1" x14ac:dyDescent="0.2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</row>
    <row r="518" spans="1:13" ht="15.75" customHeight="1" x14ac:dyDescent="0.2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</row>
    <row r="519" spans="1:13" ht="15.75" customHeight="1" x14ac:dyDescent="0.2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</row>
    <row r="520" spans="1:13" ht="15.75" customHeight="1" x14ac:dyDescent="0.2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</row>
    <row r="521" spans="1:13" ht="15.75" customHeight="1" x14ac:dyDescent="0.2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</row>
    <row r="522" spans="1:13" ht="15.75" customHeight="1" x14ac:dyDescent="0.2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</row>
    <row r="523" spans="1:13" ht="15.75" customHeight="1" x14ac:dyDescent="0.2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</row>
    <row r="524" spans="1:13" ht="15.75" customHeight="1" x14ac:dyDescent="0.2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</row>
    <row r="525" spans="1:13" ht="15.75" customHeight="1" x14ac:dyDescent="0.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</row>
    <row r="526" spans="1:13" ht="15.75" customHeight="1" x14ac:dyDescent="0.2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</row>
    <row r="527" spans="1:13" ht="15.75" customHeight="1" x14ac:dyDescent="0.2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</row>
    <row r="528" spans="1:13" ht="15.75" customHeight="1" x14ac:dyDescent="0.2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</row>
    <row r="529" spans="1:13" ht="15.75" customHeight="1" x14ac:dyDescent="0.2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</row>
    <row r="530" spans="1:13" ht="15.75" customHeight="1" x14ac:dyDescent="0.2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</row>
    <row r="531" spans="1:13" ht="15.75" customHeight="1" x14ac:dyDescent="0.2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</row>
    <row r="532" spans="1:13" ht="15.75" customHeight="1" x14ac:dyDescent="0.2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</row>
    <row r="533" spans="1:13" ht="15.75" customHeight="1" x14ac:dyDescent="0.2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</row>
    <row r="534" spans="1:13" ht="15.75" customHeight="1" x14ac:dyDescent="0.2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</row>
    <row r="535" spans="1:13" ht="15.75" customHeight="1" x14ac:dyDescent="0.2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</row>
    <row r="536" spans="1:13" ht="15.75" customHeight="1" x14ac:dyDescent="0.2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</row>
    <row r="537" spans="1:13" ht="15.75" customHeight="1" x14ac:dyDescent="0.2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</row>
    <row r="538" spans="1:13" ht="15.75" customHeight="1" x14ac:dyDescent="0.2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</row>
    <row r="539" spans="1:13" ht="15.75" customHeight="1" x14ac:dyDescent="0.2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</row>
    <row r="540" spans="1:13" ht="15.75" customHeight="1" x14ac:dyDescent="0.2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</row>
    <row r="541" spans="1:13" ht="15.75" customHeight="1" x14ac:dyDescent="0.2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</row>
    <row r="542" spans="1:13" ht="15.75" customHeight="1" x14ac:dyDescent="0.2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</row>
    <row r="543" spans="1:13" ht="15.75" customHeight="1" x14ac:dyDescent="0.2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</row>
    <row r="544" spans="1:13" ht="15.75" customHeight="1" x14ac:dyDescent="0.2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</row>
    <row r="545" spans="1:13" ht="15.75" customHeight="1" x14ac:dyDescent="0.2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</row>
    <row r="546" spans="1:13" ht="15.75" customHeight="1" x14ac:dyDescent="0.2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</row>
    <row r="547" spans="1:13" ht="15.75" customHeight="1" x14ac:dyDescent="0.2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</row>
    <row r="548" spans="1:13" ht="15.75" customHeight="1" x14ac:dyDescent="0.2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</row>
    <row r="549" spans="1:13" ht="15.75" customHeight="1" x14ac:dyDescent="0.2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</row>
    <row r="550" spans="1:13" ht="15.75" customHeight="1" x14ac:dyDescent="0.2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</row>
    <row r="551" spans="1:13" ht="15.75" customHeight="1" x14ac:dyDescent="0.2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</row>
    <row r="552" spans="1:13" ht="15.75" customHeight="1" x14ac:dyDescent="0.2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</row>
    <row r="553" spans="1:13" ht="15.75" customHeight="1" x14ac:dyDescent="0.2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</row>
    <row r="554" spans="1:13" ht="15.75" customHeight="1" x14ac:dyDescent="0.2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</row>
    <row r="555" spans="1:13" ht="15.75" customHeight="1" x14ac:dyDescent="0.2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</row>
    <row r="556" spans="1:13" ht="15.75" customHeight="1" x14ac:dyDescent="0.2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</row>
    <row r="557" spans="1:13" ht="15.75" customHeight="1" x14ac:dyDescent="0.2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</row>
    <row r="558" spans="1:13" ht="15.75" customHeight="1" x14ac:dyDescent="0.2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</row>
    <row r="559" spans="1:13" ht="15.75" customHeight="1" x14ac:dyDescent="0.2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</row>
    <row r="560" spans="1:13" ht="15.75" customHeight="1" x14ac:dyDescent="0.2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</row>
    <row r="561" spans="1:13" ht="15.75" customHeight="1" x14ac:dyDescent="0.2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</row>
    <row r="562" spans="1:13" ht="15.75" customHeight="1" x14ac:dyDescent="0.2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</row>
    <row r="563" spans="1:13" ht="15.75" customHeight="1" x14ac:dyDescent="0.2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</row>
    <row r="564" spans="1:13" ht="15.75" customHeight="1" x14ac:dyDescent="0.2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</row>
    <row r="565" spans="1:13" ht="15.75" customHeight="1" x14ac:dyDescent="0.2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</row>
    <row r="566" spans="1:13" ht="15.75" customHeight="1" x14ac:dyDescent="0.2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</row>
    <row r="567" spans="1:13" ht="15.75" customHeight="1" x14ac:dyDescent="0.2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</row>
    <row r="568" spans="1:13" ht="15.75" customHeight="1" x14ac:dyDescent="0.2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</row>
    <row r="569" spans="1:13" ht="15.75" customHeight="1" x14ac:dyDescent="0.2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</row>
    <row r="570" spans="1:13" ht="15.75" customHeight="1" x14ac:dyDescent="0.2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</row>
    <row r="571" spans="1:13" ht="15.75" customHeight="1" x14ac:dyDescent="0.2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</row>
    <row r="572" spans="1:13" ht="15.75" customHeight="1" x14ac:dyDescent="0.2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</row>
    <row r="573" spans="1:13" ht="15.75" customHeight="1" x14ac:dyDescent="0.2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</row>
    <row r="574" spans="1:13" ht="15.75" customHeight="1" x14ac:dyDescent="0.2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</row>
    <row r="575" spans="1:13" ht="15.75" customHeight="1" x14ac:dyDescent="0.2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</row>
    <row r="576" spans="1:13" ht="15.75" customHeight="1" x14ac:dyDescent="0.2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</row>
    <row r="577" spans="1:13" ht="15.75" customHeight="1" x14ac:dyDescent="0.2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</row>
    <row r="578" spans="1:13" ht="15.75" customHeight="1" x14ac:dyDescent="0.2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</row>
    <row r="579" spans="1:13" ht="15.75" customHeight="1" x14ac:dyDescent="0.2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</row>
    <row r="580" spans="1:13" ht="15.75" customHeight="1" x14ac:dyDescent="0.2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</row>
    <row r="581" spans="1:13" ht="15.75" customHeight="1" x14ac:dyDescent="0.2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</row>
    <row r="582" spans="1:13" ht="15.75" customHeight="1" x14ac:dyDescent="0.2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</row>
    <row r="583" spans="1:13" ht="15.75" customHeight="1" x14ac:dyDescent="0.2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</row>
    <row r="584" spans="1:13" ht="15.75" customHeight="1" x14ac:dyDescent="0.2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</row>
    <row r="585" spans="1:13" ht="15.75" customHeight="1" x14ac:dyDescent="0.2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</row>
    <row r="586" spans="1:13" ht="15.75" customHeight="1" x14ac:dyDescent="0.2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</row>
    <row r="587" spans="1:13" ht="15.75" customHeight="1" x14ac:dyDescent="0.2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</row>
    <row r="588" spans="1:13" ht="15.75" customHeight="1" x14ac:dyDescent="0.2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</row>
    <row r="589" spans="1:13" ht="15.75" customHeight="1" x14ac:dyDescent="0.2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</row>
    <row r="590" spans="1:13" ht="15.75" customHeight="1" x14ac:dyDescent="0.2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</row>
    <row r="591" spans="1:13" ht="15.75" customHeight="1" x14ac:dyDescent="0.2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</row>
    <row r="592" spans="1:13" ht="15.75" customHeight="1" x14ac:dyDescent="0.2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</row>
    <row r="593" spans="1:13" ht="15.75" customHeight="1" x14ac:dyDescent="0.2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</row>
    <row r="594" spans="1:13" ht="15.75" customHeight="1" x14ac:dyDescent="0.2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</row>
    <row r="595" spans="1:13" ht="15.75" customHeight="1" x14ac:dyDescent="0.2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</row>
    <row r="596" spans="1:13" ht="15.75" customHeight="1" x14ac:dyDescent="0.2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</row>
    <row r="597" spans="1:13" ht="15.75" customHeight="1" x14ac:dyDescent="0.2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</row>
    <row r="598" spans="1:13" ht="15.75" customHeight="1" x14ac:dyDescent="0.2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</row>
    <row r="599" spans="1:13" ht="15.75" customHeight="1" x14ac:dyDescent="0.2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</row>
    <row r="600" spans="1:13" ht="15.75" customHeight="1" x14ac:dyDescent="0.2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</row>
    <row r="601" spans="1:13" ht="15.75" customHeight="1" x14ac:dyDescent="0.2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</row>
    <row r="602" spans="1:13" ht="15.75" customHeight="1" x14ac:dyDescent="0.2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</row>
    <row r="603" spans="1:13" ht="15.75" customHeight="1" x14ac:dyDescent="0.2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</row>
    <row r="604" spans="1:13" ht="15.75" customHeight="1" x14ac:dyDescent="0.2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</row>
    <row r="605" spans="1:13" ht="15.75" customHeight="1" x14ac:dyDescent="0.2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</row>
    <row r="606" spans="1:13" ht="15.75" customHeight="1" x14ac:dyDescent="0.2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</row>
    <row r="607" spans="1:13" ht="15.75" customHeight="1" x14ac:dyDescent="0.2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</row>
    <row r="608" spans="1:13" ht="15.75" customHeight="1" x14ac:dyDescent="0.2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</row>
    <row r="609" spans="1:13" ht="15.75" customHeight="1" x14ac:dyDescent="0.2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</row>
    <row r="610" spans="1:13" ht="15.75" customHeight="1" x14ac:dyDescent="0.2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</row>
    <row r="611" spans="1:13" ht="15.75" customHeight="1" x14ac:dyDescent="0.2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</row>
    <row r="612" spans="1:13" ht="15.75" customHeight="1" x14ac:dyDescent="0.2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</row>
    <row r="613" spans="1:13" ht="15.75" customHeight="1" x14ac:dyDescent="0.2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</row>
    <row r="614" spans="1:13" ht="15.75" customHeight="1" x14ac:dyDescent="0.2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</row>
    <row r="615" spans="1:13" ht="15.75" customHeight="1" x14ac:dyDescent="0.2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</row>
    <row r="616" spans="1:13" ht="15.75" customHeight="1" x14ac:dyDescent="0.2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</row>
    <row r="617" spans="1:13" ht="15.75" customHeight="1" x14ac:dyDescent="0.2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</row>
    <row r="618" spans="1:13" ht="15.75" customHeight="1" x14ac:dyDescent="0.2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</row>
    <row r="619" spans="1:13" ht="15.75" customHeight="1" x14ac:dyDescent="0.2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</row>
    <row r="620" spans="1:13" ht="15.75" customHeight="1" x14ac:dyDescent="0.2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</row>
    <row r="621" spans="1:13" ht="15.75" customHeight="1" x14ac:dyDescent="0.2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</row>
    <row r="622" spans="1:13" ht="15.75" customHeight="1" x14ac:dyDescent="0.2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</row>
    <row r="623" spans="1:13" ht="15.75" customHeight="1" x14ac:dyDescent="0.2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</row>
    <row r="624" spans="1:13" ht="15.75" customHeight="1" x14ac:dyDescent="0.2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</row>
    <row r="625" spans="1:13" ht="15.75" customHeight="1" x14ac:dyDescent="0.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</row>
    <row r="626" spans="1:13" ht="15.75" customHeight="1" x14ac:dyDescent="0.2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</row>
    <row r="627" spans="1:13" ht="15.75" customHeight="1" x14ac:dyDescent="0.2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</row>
    <row r="628" spans="1:13" ht="15.75" customHeight="1" x14ac:dyDescent="0.2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</row>
    <row r="629" spans="1:13" ht="15.75" customHeight="1" x14ac:dyDescent="0.2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</row>
    <row r="630" spans="1:13" ht="15.75" customHeight="1" x14ac:dyDescent="0.2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</row>
    <row r="631" spans="1:13" ht="15.75" customHeight="1" x14ac:dyDescent="0.2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</row>
    <row r="632" spans="1:13" ht="15.75" customHeight="1" x14ac:dyDescent="0.2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</row>
    <row r="633" spans="1:13" ht="15.75" customHeight="1" x14ac:dyDescent="0.2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</row>
    <row r="634" spans="1:13" ht="15.75" customHeight="1" x14ac:dyDescent="0.2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</row>
    <row r="635" spans="1:13" ht="15.75" customHeight="1" x14ac:dyDescent="0.2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</row>
    <row r="636" spans="1:13" ht="15.75" customHeight="1" x14ac:dyDescent="0.2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</row>
    <row r="637" spans="1:13" ht="15.75" customHeight="1" x14ac:dyDescent="0.2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</row>
    <row r="638" spans="1:13" ht="15.75" customHeight="1" x14ac:dyDescent="0.2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</row>
    <row r="639" spans="1:13" ht="15.75" customHeight="1" x14ac:dyDescent="0.2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</row>
    <row r="640" spans="1:13" ht="15.75" customHeight="1" x14ac:dyDescent="0.2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</row>
    <row r="641" spans="1:13" ht="15.75" customHeight="1" x14ac:dyDescent="0.2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</row>
    <row r="642" spans="1:13" ht="15.75" customHeight="1" x14ac:dyDescent="0.2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</row>
    <row r="643" spans="1:13" ht="15.75" customHeight="1" x14ac:dyDescent="0.2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</row>
    <row r="644" spans="1:13" ht="15.75" customHeight="1" x14ac:dyDescent="0.2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</row>
    <row r="645" spans="1:13" ht="15.75" customHeight="1" x14ac:dyDescent="0.2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</row>
    <row r="646" spans="1:13" ht="15.75" customHeight="1" x14ac:dyDescent="0.2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</row>
    <row r="647" spans="1:13" ht="15.75" customHeight="1" x14ac:dyDescent="0.2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</row>
    <row r="648" spans="1:13" ht="15.75" customHeight="1" x14ac:dyDescent="0.2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</row>
    <row r="649" spans="1:13" ht="15.75" customHeight="1" x14ac:dyDescent="0.2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</row>
    <row r="650" spans="1:13" ht="15.75" customHeight="1" x14ac:dyDescent="0.2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</row>
    <row r="651" spans="1:13" ht="15.75" customHeight="1" x14ac:dyDescent="0.2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</row>
    <row r="652" spans="1:13" ht="15.75" customHeight="1" x14ac:dyDescent="0.2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</row>
    <row r="653" spans="1:13" ht="15.75" customHeight="1" x14ac:dyDescent="0.2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</row>
    <row r="654" spans="1:13" ht="15.75" customHeight="1" x14ac:dyDescent="0.2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</row>
    <row r="655" spans="1:13" ht="15.75" customHeight="1" x14ac:dyDescent="0.2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</row>
    <row r="656" spans="1:13" ht="15.75" customHeight="1" x14ac:dyDescent="0.2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</row>
    <row r="657" spans="1:13" ht="15.75" customHeight="1" x14ac:dyDescent="0.2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</row>
    <row r="658" spans="1:13" ht="15.75" customHeight="1" x14ac:dyDescent="0.2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</row>
    <row r="659" spans="1:13" ht="15.75" customHeight="1" x14ac:dyDescent="0.2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</row>
    <row r="660" spans="1:13" ht="15.75" customHeight="1" x14ac:dyDescent="0.2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</row>
    <row r="661" spans="1:13" ht="15.75" customHeight="1" x14ac:dyDescent="0.2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</row>
    <row r="662" spans="1:13" ht="15.75" customHeight="1" x14ac:dyDescent="0.2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</row>
    <row r="663" spans="1:13" ht="15.75" customHeight="1" x14ac:dyDescent="0.2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</row>
    <row r="664" spans="1:13" ht="15.75" customHeight="1" x14ac:dyDescent="0.2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</row>
    <row r="665" spans="1:13" ht="15.75" customHeight="1" x14ac:dyDescent="0.2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</row>
    <row r="666" spans="1:13" ht="15.75" customHeight="1" x14ac:dyDescent="0.2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</row>
    <row r="667" spans="1:13" ht="15.75" customHeight="1" x14ac:dyDescent="0.2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</row>
    <row r="668" spans="1:13" ht="15.75" customHeight="1" x14ac:dyDescent="0.2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</row>
    <row r="669" spans="1:13" ht="15.75" customHeight="1" x14ac:dyDescent="0.2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</row>
    <row r="670" spans="1:13" ht="15.75" customHeight="1" x14ac:dyDescent="0.2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</row>
    <row r="671" spans="1:13" ht="15.75" customHeight="1" x14ac:dyDescent="0.2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</row>
    <row r="672" spans="1:13" ht="15.75" customHeight="1" x14ac:dyDescent="0.2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</row>
    <row r="673" spans="1:13" ht="15.75" customHeight="1" x14ac:dyDescent="0.2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</row>
    <row r="674" spans="1:13" ht="15.75" customHeight="1" x14ac:dyDescent="0.2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</row>
    <row r="675" spans="1:13" ht="15.75" customHeight="1" x14ac:dyDescent="0.2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</row>
    <row r="676" spans="1:13" ht="15.75" customHeight="1" x14ac:dyDescent="0.2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</row>
    <row r="677" spans="1:13" ht="15.75" customHeight="1" x14ac:dyDescent="0.2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</row>
    <row r="678" spans="1:13" ht="15.75" customHeight="1" x14ac:dyDescent="0.2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</row>
    <row r="679" spans="1:13" ht="15.75" customHeight="1" x14ac:dyDescent="0.2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</row>
    <row r="680" spans="1:13" ht="15.75" customHeight="1" x14ac:dyDescent="0.2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</row>
    <row r="681" spans="1:13" ht="15.75" customHeight="1" x14ac:dyDescent="0.2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</row>
    <row r="682" spans="1:13" ht="15.75" customHeight="1" x14ac:dyDescent="0.2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</row>
    <row r="683" spans="1:13" ht="15.75" customHeight="1" x14ac:dyDescent="0.2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</row>
    <row r="684" spans="1:13" ht="15.75" customHeight="1" x14ac:dyDescent="0.2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</row>
    <row r="685" spans="1:13" ht="15.75" customHeight="1" x14ac:dyDescent="0.2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</row>
    <row r="686" spans="1:13" ht="15.75" customHeight="1" x14ac:dyDescent="0.2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</row>
    <row r="687" spans="1:13" ht="15.75" customHeight="1" x14ac:dyDescent="0.2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</row>
    <row r="688" spans="1:13" ht="15.75" customHeight="1" x14ac:dyDescent="0.2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</row>
    <row r="689" spans="1:13" ht="15.75" customHeight="1" x14ac:dyDescent="0.2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</row>
    <row r="690" spans="1:13" ht="15.75" customHeight="1" x14ac:dyDescent="0.2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</row>
    <row r="691" spans="1:13" ht="15.75" customHeight="1" x14ac:dyDescent="0.2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</row>
    <row r="692" spans="1:13" ht="15.75" customHeight="1" x14ac:dyDescent="0.2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</row>
    <row r="693" spans="1:13" ht="15.75" customHeight="1" x14ac:dyDescent="0.2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</row>
    <row r="694" spans="1:13" ht="15.75" customHeight="1" x14ac:dyDescent="0.2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</row>
    <row r="695" spans="1:13" ht="15.75" customHeight="1" x14ac:dyDescent="0.2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</row>
    <row r="696" spans="1:13" ht="15.75" customHeight="1" x14ac:dyDescent="0.2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</row>
    <row r="697" spans="1:13" ht="15.75" customHeight="1" x14ac:dyDescent="0.2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</row>
    <row r="698" spans="1:13" ht="15.75" customHeight="1" x14ac:dyDescent="0.2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</row>
    <row r="699" spans="1:13" ht="15.75" customHeight="1" x14ac:dyDescent="0.2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</row>
    <row r="700" spans="1:13" ht="15.75" customHeight="1" x14ac:dyDescent="0.2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</row>
    <row r="701" spans="1:13" ht="15.75" customHeight="1" x14ac:dyDescent="0.2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</row>
    <row r="702" spans="1:13" ht="15.75" customHeight="1" x14ac:dyDescent="0.2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</row>
    <row r="703" spans="1:13" ht="15.75" customHeight="1" x14ac:dyDescent="0.2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</row>
    <row r="704" spans="1:13" ht="15.75" customHeight="1" x14ac:dyDescent="0.2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</row>
    <row r="705" spans="1:13" ht="15.75" customHeight="1" x14ac:dyDescent="0.2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</row>
    <row r="706" spans="1:13" ht="15.75" customHeight="1" x14ac:dyDescent="0.2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</row>
    <row r="707" spans="1:13" ht="15.75" customHeight="1" x14ac:dyDescent="0.2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</row>
    <row r="708" spans="1:13" ht="15.75" customHeight="1" x14ac:dyDescent="0.2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</row>
    <row r="709" spans="1:13" ht="15.75" customHeight="1" x14ac:dyDescent="0.2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</row>
    <row r="710" spans="1:13" ht="15.75" customHeight="1" x14ac:dyDescent="0.2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</row>
    <row r="711" spans="1:13" ht="15.75" customHeight="1" x14ac:dyDescent="0.2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</row>
    <row r="712" spans="1:13" ht="15.75" customHeight="1" x14ac:dyDescent="0.2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</row>
    <row r="713" spans="1:13" ht="15.75" customHeight="1" x14ac:dyDescent="0.2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</row>
    <row r="714" spans="1:13" ht="15.75" customHeight="1" x14ac:dyDescent="0.2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</row>
    <row r="715" spans="1:13" ht="15.75" customHeight="1" x14ac:dyDescent="0.2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</row>
    <row r="716" spans="1:13" ht="15.75" customHeight="1" x14ac:dyDescent="0.2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</row>
    <row r="717" spans="1:13" ht="15.75" customHeight="1" x14ac:dyDescent="0.2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</row>
    <row r="718" spans="1:13" ht="15.75" customHeight="1" x14ac:dyDescent="0.2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</row>
    <row r="719" spans="1:13" ht="15.75" customHeight="1" x14ac:dyDescent="0.2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</row>
    <row r="720" spans="1:13" ht="15.75" customHeight="1" x14ac:dyDescent="0.2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</row>
    <row r="721" spans="1:13" ht="15.75" customHeight="1" x14ac:dyDescent="0.2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</row>
    <row r="722" spans="1:13" ht="15.75" customHeight="1" x14ac:dyDescent="0.2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</row>
    <row r="723" spans="1:13" ht="15.75" customHeight="1" x14ac:dyDescent="0.2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</row>
    <row r="724" spans="1:13" ht="15.75" customHeight="1" x14ac:dyDescent="0.2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</row>
    <row r="725" spans="1:13" ht="15.75" customHeight="1" x14ac:dyDescent="0.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</row>
    <row r="726" spans="1:13" ht="15.75" customHeight="1" x14ac:dyDescent="0.2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</row>
    <row r="727" spans="1:13" ht="15.75" customHeight="1" x14ac:dyDescent="0.2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</row>
    <row r="728" spans="1:13" ht="15.75" customHeight="1" x14ac:dyDescent="0.2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</row>
    <row r="729" spans="1:13" ht="15.75" customHeight="1" x14ac:dyDescent="0.2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</row>
    <row r="730" spans="1:13" ht="15.75" customHeight="1" x14ac:dyDescent="0.2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</row>
    <row r="731" spans="1:13" ht="15.75" customHeight="1" x14ac:dyDescent="0.2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</row>
    <row r="732" spans="1:13" ht="15.75" customHeight="1" x14ac:dyDescent="0.2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</row>
    <row r="733" spans="1:13" ht="15.75" customHeight="1" x14ac:dyDescent="0.2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</row>
    <row r="734" spans="1:13" ht="15.75" customHeight="1" x14ac:dyDescent="0.2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</row>
    <row r="735" spans="1:13" ht="15.75" customHeight="1" x14ac:dyDescent="0.2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</row>
    <row r="736" spans="1:13" ht="15.75" customHeight="1" x14ac:dyDescent="0.2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</row>
    <row r="737" spans="1:13" ht="15.75" customHeight="1" x14ac:dyDescent="0.2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</row>
    <row r="738" spans="1:13" ht="15.75" customHeight="1" x14ac:dyDescent="0.2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</row>
    <row r="739" spans="1:13" ht="15.75" customHeight="1" x14ac:dyDescent="0.2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</row>
    <row r="740" spans="1:13" ht="15.75" customHeight="1" x14ac:dyDescent="0.2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</row>
    <row r="741" spans="1:13" ht="15.75" customHeight="1" x14ac:dyDescent="0.2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</row>
    <row r="742" spans="1:13" ht="15.75" customHeight="1" x14ac:dyDescent="0.2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</row>
    <row r="743" spans="1:13" ht="15.75" customHeight="1" x14ac:dyDescent="0.2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</row>
    <row r="744" spans="1:13" ht="15.75" customHeight="1" x14ac:dyDescent="0.2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</row>
    <row r="745" spans="1:13" ht="15.75" customHeight="1" x14ac:dyDescent="0.2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</row>
    <row r="746" spans="1:13" ht="15.75" customHeight="1" x14ac:dyDescent="0.2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</row>
    <row r="747" spans="1:13" ht="15.75" customHeight="1" x14ac:dyDescent="0.2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</row>
    <row r="748" spans="1:13" ht="15.75" customHeight="1" x14ac:dyDescent="0.2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</row>
    <row r="749" spans="1:13" ht="15.75" customHeight="1" x14ac:dyDescent="0.2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</row>
    <row r="750" spans="1:13" ht="15.75" customHeight="1" x14ac:dyDescent="0.2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</row>
    <row r="751" spans="1:13" ht="15.75" customHeight="1" x14ac:dyDescent="0.2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</row>
    <row r="752" spans="1:13" ht="15.75" customHeight="1" x14ac:dyDescent="0.2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</row>
    <row r="753" spans="1:13" ht="15.75" customHeight="1" x14ac:dyDescent="0.2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</row>
    <row r="754" spans="1:13" ht="15.75" customHeight="1" x14ac:dyDescent="0.2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</row>
    <row r="755" spans="1:13" ht="15.75" customHeight="1" x14ac:dyDescent="0.2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</row>
    <row r="756" spans="1:13" ht="15.75" customHeight="1" x14ac:dyDescent="0.2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</row>
    <row r="757" spans="1:13" ht="15.75" customHeight="1" x14ac:dyDescent="0.2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</row>
    <row r="758" spans="1:13" ht="15.75" customHeight="1" x14ac:dyDescent="0.2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</row>
    <row r="759" spans="1:13" ht="15.75" customHeight="1" x14ac:dyDescent="0.2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</row>
    <row r="760" spans="1:13" ht="15.75" customHeight="1" x14ac:dyDescent="0.2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</row>
    <row r="761" spans="1:13" ht="15.75" customHeight="1" x14ac:dyDescent="0.2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</row>
    <row r="762" spans="1:13" ht="15.75" customHeight="1" x14ac:dyDescent="0.2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</row>
    <row r="763" spans="1:13" ht="15.75" customHeight="1" x14ac:dyDescent="0.2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</row>
    <row r="764" spans="1:13" ht="15.75" customHeight="1" x14ac:dyDescent="0.2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</row>
    <row r="765" spans="1:13" ht="15.75" customHeight="1" x14ac:dyDescent="0.2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</row>
    <row r="766" spans="1:13" ht="15.75" customHeight="1" x14ac:dyDescent="0.2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</row>
    <row r="767" spans="1:13" ht="15.75" customHeight="1" x14ac:dyDescent="0.2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</row>
    <row r="768" spans="1:13" ht="15.75" customHeight="1" x14ac:dyDescent="0.2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</row>
    <row r="769" spans="1:13" ht="15.75" customHeight="1" x14ac:dyDescent="0.2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</row>
    <row r="770" spans="1:13" ht="15.75" customHeight="1" x14ac:dyDescent="0.2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</row>
    <row r="771" spans="1:13" ht="15.75" customHeight="1" x14ac:dyDescent="0.2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</row>
    <row r="772" spans="1:13" ht="15.75" customHeight="1" x14ac:dyDescent="0.2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</row>
    <row r="773" spans="1:13" ht="15.75" customHeight="1" x14ac:dyDescent="0.2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</row>
    <row r="774" spans="1:13" ht="15.75" customHeight="1" x14ac:dyDescent="0.2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</row>
    <row r="775" spans="1:13" ht="15.75" customHeight="1" x14ac:dyDescent="0.2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</row>
    <row r="776" spans="1:13" ht="15.75" customHeight="1" x14ac:dyDescent="0.2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</row>
    <row r="777" spans="1:13" ht="15.75" customHeight="1" x14ac:dyDescent="0.2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</row>
    <row r="778" spans="1:13" ht="15.75" customHeight="1" x14ac:dyDescent="0.2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</row>
    <row r="779" spans="1:13" ht="15.75" customHeight="1" x14ac:dyDescent="0.2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</row>
    <row r="780" spans="1:13" ht="15.75" customHeight="1" x14ac:dyDescent="0.2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</row>
    <row r="781" spans="1:13" ht="15.75" customHeight="1" x14ac:dyDescent="0.2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</row>
    <row r="782" spans="1:13" ht="15.75" customHeight="1" x14ac:dyDescent="0.2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</row>
    <row r="783" spans="1:13" ht="15.75" customHeight="1" x14ac:dyDescent="0.2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</row>
    <row r="784" spans="1:13" ht="15.75" customHeight="1" x14ac:dyDescent="0.2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</row>
    <row r="785" spans="1:13" ht="15.75" customHeight="1" x14ac:dyDescent="0.2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</row>
    <row r="786" spans="1:13" ht="15.75" customHeight="1" x14ac:dyDescent="0.2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</row>
    <row r="787" spans="1:13" ht="15.75" customHeight="1" x14ac:dyDescent="0.2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</row>
    <row r="788" spans="1:13" ht="15.75" customHeight="1" x14ac:dyDescent="0.2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</row>
    <row r="789" spans="1:13" ht="15.75" customHeight="1" x14ac:dyDescent="0.2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</row>
    <row r="790" spans="1:13" ht="15.75" customHeight="1" x14ac:dyDescent="0.2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</row>
    <row r="791" spans="1:13" ht="15.75" customHeight="1" x14ac:dyDescent="0.2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</row>
    <row r="792" spans="1:13" ht="15.75" customHeight="1" x14ac:dyDescent="0.2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</row>
    <row r="793" spans="1:13" ht="15.75" customHeight="1" x14ac:dyDescent="0.2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</row>
    <row r="794" spans="1:13" ht="15.75" customHeight="1" x14ac:dyDescent="0.2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</row>
    <row r="795" spans="1:13" ht="15.75" customHeight="1" x14ac:dyDescent="0.2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</row>
    <row r="796" spans="1:13" ht="15.75" customHeight="1" x14ac:dyDescent="0.2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</row>
    <row r="797" spans="1:13" ht="15.75" customHeight="1" x14ac:dyDescent="0.2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</row>
    <row r="798" spans="1:13" ht="15.75" customHeight="1" x14ac:dyDescent="0.2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</row>
    <row r="799" spans="1:13" ht="15.75" customHeight="1" x14ac:dyDescent="0.2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</row>
    <row r="800" spans="1:13" ht="15.75" customHeight="1" x14ac:dyDescent="0.2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</row>
    <row r="801" spans="1:13" ht="15.75" customHeight="1" x14ac:dyDescent="0.2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</row>
    <row r="802" spans="1:13" ht="15.75" customHeight="1" x14ac:dyDescent="0.2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</row>
    <row r="803" spans="1:13" ht="15.75" customHeight="1" x14ac:dyDescent="0.2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</row>
    <row r="804" spans="1:13" ht="15.75" customHeight="1" x14ac:dyDescent="0.2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</row>
    <row r="805" spans="1:13" ht="15.75" customHeight="1" x14ac:dyDescent="0.2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</row>
    <row r="806" spans="1:13" ht="15.75" customHeight="1" x14ac:dyDescent="0.2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</row>
    <row r="807" spans="1:13" ht="15.75" customHeight="1" x14ac:dyDescent="0.2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</row>
    <row r="808" spans="1:13" ht="15.75" customHeight="1" x14ac:dyDescent="0.2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</row>
    <row r="809" spans="1:13" ht="15.75" customHeight="1" x14ac:dyDescent="0.2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</row>
    <row r="810" spans="1:13" ht="15.75" customHeight="1" x14ac:dyDescent="0.2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</row>
    <row r="811" spans="1:13" ht="15.75" customHeight="1" x14ac:dyDescent="0.2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</row>
    <row r="812" spans="1:13" ht="15.75" customHeight="1" x14ac:dyDescent="0.2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</row>
    <row r="813" spans="1:13" ht="15.75" customHeight="1" x14ac:dyDescent="0.2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</row>
    <row r="814" spans="1:13" ht="15.75" customHeight="1" x14ac:dyDescent="0.2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</row>
    <row r="815" spans="1:13" ht="15.75" customHeight="1" x14ac:dyDescent="0.2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</row>
    <row r="816" spans="1:13" ht="15.75" customHeight="1" x14ac:dyDescent="0.2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</row>
    <row r="817" spans="1:13" ht="15.75" customHeight="1" x14ac:dyDescent="0.2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</row>
    <row r="818" spans="1:13" ht="15.75" customHeight="1" x14ac:dyDescent="0.2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</row>
    <row r="819" spans="1:13" ht="15.75" customHeight="1" x14ac:dyDescent="0.2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</row>
    <row r="820" spans="1:13" ht="15.75" customHeight="1" x14ac:dyDescent="0.2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</row>
    <row r="821" spans="1:13" ht="15.75" customHeight="1" x14ac:dyDescent="0.2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</row>
    <row r="822" spans="1:13" ht="15.75" customHeight="1" x14ac:dyDescent="0.2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</row>
    <row r="823" spans="1:13" ht="15.75" customHeight="1" x14ac:dyDescent="0.2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</row>
    <row r="824" spans="1:13" ht="15.75" customHeight="1" x14ac:dyDescent="0.2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</row>
    <row r="825" spans="1:13" ht="15.75" customHeight="1" x14ac:dyDescent="0.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</row>
    <row r="826" spans="1:13" ht="15.75" customHeight="1" x14ac:dyDescent="0.2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</row>
    <row r="827" spans="1:13" ht="15.75" customHeight="1" x14ac:dyDescent="0.2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</row>
    <row r="828" spans="1:13" ht="15.75" customHeight="1" x14ac:dyDescent="0.2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</row>
    <row r="829" spans="1:13" ht="15.75" customHeight="1" x14ac:dyDescent="0.2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</row>
    <row r="830" spans="1:13" ht="15.75" customHeight="1" x14ac:dyDescent="0.2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</row>
    <row r="831" spans="1:13" ht="15.75" customHeight="1" x14ac:dyDescent="0.2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</row>
    <row r="832" spans="1:13" ht="15.75" customHeight="1" x14ac:dyDescent="0.2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</row>
    <row r="833" spans="1:13" ht="15.75" customHeight="1" x14ac:dyDescent="0.2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</row>
    <row r="834" spans="1:13" ht="15.75" customHeight="1" x14ac:dyDescent="0.2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</row>
    <row r="835" spans="1:13" ht="15.75" customHeight="1" x14ac:dyDescent="0.2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</row>
    <row r="836" spans="1:13" ht="15.75" customHeight="1" x14ac:dyDescent="0.2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</row>
    <row r="837" spans="1:13" ht="15.75" customHeight="1" x14ac:dyDescent="0.2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</row>
    <row r="838" spans="1:13" ht="15.75" customHeight="1" x14ac:dyDescent="0.2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</row>
    <row r="839" spans="1:13" ht="15.75" customHeight="1" x14ac:dyDescent="0.2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</row>
    <row r="840" spans="1:13" ht="15.75" customHeight="1" x14ac:dyDescent="0.2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</row>
    <row r="841" spans="1:13" ht="15.75" customHeight="1" x14ac:dyDescent="0.2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</row>
    <row r="842" spans="1:13" ht="15.75" customHeight="1" x14ac:dyDescent="0.2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</row>
    <row r="843" spans="1:13" ht="15.75" customHeight="1" x14ac:dyDescent="0.2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</row>
    <row r="844" spans="1:13" ht="15.75" customHeight="1" x14ac:dyDescent="0.2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</row>
    <row r="845" spans="1:13" ht="15.75" customHeight="1" x14ac:dyDescent="0.2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</row>
    <row r="846" spans="1:13" ht="15.75" customHeight="1" x14ac:dyDescent="0.2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</row>
    <row r="847" spans="1:13" ht="15.75" customHeight="1" x14ac:dyDescent="0.2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</row>
    <row r="848" spans="1:13" ht="15.75" customHeight="1" x14ac:dyDescent="0.2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</row>
    <row r="849" spans="1:13" ht="15.75" customHeight="1" x14ac:dyDescent="0.2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</row>
    <row r="850" spans="1:13" ht="15.75" customHeight="1" x14ac:dyDescent="0.2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</row>
    <row r="851" spans="1:13" ht="15.75" customHeight="1" x14ac:dyDescent="0.2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</row>
    <row r="852" spans="1:13" ht="15.75" customHeight="1" x14ac:dyDescent="0.2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</row>
    <row r="853" spans="1:13" ht="15.75" customHeight="1" x14ac:dyDescent="0.2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</row>
    <row r="854" spans="1:13" ht="15.75" customHeight="1" x14ac:dyDescent="0.2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</row>
    <row r="855" spans="1:13" ht="15.75" customHeight="1" x14ac:dyDescent="0.2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</row>
    <row r="856" spans="1:13" ht="15.75" customHeight="1" x14ac:dyDescent="0.2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</row>
    <row r="857" spans="1:13" ht="15.75" customHeight="1" x14ac:dyDescent="0.2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</row>
    <row r="858" spans="1:13" ht="15.75" customHeight="1" x14ac:dyDescent="0.2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</row>
    <row r="859" spans="1:13" ht="15.75" customHeight="1" x14ac:dyDescent="0.2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</row>
    <row r="860" spans="1:13" ht="15.75" customHeight="1" x14ac:dyDescent="0.2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</row>
    <row r="861" spans="1:13" ht="15.75" customHeight="1" x14ac:dyDescent="0.2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</row>
    <row r="862" spans="1:13" ht="15.75" customHeight="1" x14ac:dyDescent="0.2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</row>
    <row r="863" spans="1:13" ht="15.75" customHeight="1" x14ac:dyDescent="0.2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</row>
    <row r="864" spans="1:13" ht="15.75" customHeight="1" x14ac:dyDescent="0.2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</row>
    <row r="865" spans="1:13" ht="15.75" customHeight="1" x14ac:dyDescent="0.2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</row>
    <row r="866" spans="1:13" ht="15.75" customHeight="1" x14ac:dyDescent="0.2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</row>
    <row r="867" spans="1:13" ht="15.75" customHeight="1" x14ac:dyDescent="0.2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</row>
    <row r="868" spans="1:13" ht="15.75" customHeight="1" x14ac:dyDescent="0.2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</row>
    <row r="869" spans="1:13" ht="15.75" customHeight="1" x14ac:dyDescent="0.2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</row>
    <row r="870" spans="1:13" ht="15.75" customHeight="1" x14ac:dyDescent="0.2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</row>
    <row r="871" spans="1:13" ht="15.75" customHeight="1" x14ac:dyDescent="0.2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</row>
    <row r="872" spans="1:13" ht="15.75" customHeight="1" x14ac:dyDescent="0.2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</row>
    <row r="873" spans="1:13" ht="15.75" customHeight="1" x14ac:dyDescent="0.2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</row>
    <row r="874" spans="1:13" ht="15.75" customHeight="1" x14ac:dyDescent="0.2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</row>
    <row r="875" spans="1:13" ht="15.75" customHeight="1" x14ac:dyDescent="0.2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</row>
    <row r="876" spans="1:13" ht="15.75" customHeight="1" x14ac:dyDescent="0.2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</row>
    <row r="877" spans="1:13" ht="15.75" customHeight="1" x14ac:dyDescent="0.2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</row>
    <row r="878" spans="1:13" ht="15.75" customHeight="1" x14ac:dyDescent="0.2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</row>
    <row r="879" spans="1:13" ht="15.75" customHeight="1" x14ac:dyDescent="0.2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</row>
    <row r="880" spans="1:13" ht="15.75" customHeight="1" x14ac:dyDescent="0.2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</row>
    <row r="881" spans="1:13" ht="15.75" customHeight="1" x14ac:dyDescent="0.2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</row>
    <row r="882" spans="1:13" ht="15.75" customHeight="1" x14ac:dyDescent="0.2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</row>
    <row r="883" spans="1:13" ht="15.75" customHeight="1" x14ac:dyDescent="0.2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</row>
    <row r="884" spans="1:13" ht="15.75" customHeight="1" x14ac:dyDescent="0.2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</row>
    <row r="885" spans="1:13" ht="15.75" customHeight="1" x14ac:dyDescent="0.2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</row>
    <row r="886" spans="1:13" ht="15.75" customHeight="1" x14ac:dyDescent="0.2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</row>
    <row r="887" spans="1:13" ht="15.75" customHeight="1" x14ac:dyDescent="0.2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</row>
    <row r="888" spans="1:13" ht="15.75" customHeight="1" x14ac:dyDescent="0.2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</row>
    <row r="889" spans="1:13" ht="15.75" customHeight="1" x14ac:dyDescent="0.2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</row>
    <row r="890" spans="1:13" ht="15.75" customHeight="1" x14ac:dyDescent="0.2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</row>
    <row r="891" spans="1:13" ht="15.75" customHeight="1" x14ac:dyDescent="0.2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</row>
    <row r="892" spans="1:13" ht="15.75" customHeight="1" x14ac:dyDescent="0.2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</row>
    <row r="893" spans="1:13" ht="15.75" customHeight="1" x14ac:dyDescent="0.2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</row>
    <row r="894" spans="1:13" ht="15.75" customHeight="1" x14ac:dyDescent="0.2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</row>
    <row r="895" spans="1:13" ht="15.75" customHeight="1" x14ac:dyDescent="0.2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</row>
    <row r="896" spans="1:13" ht="15.75" customHeight="1" x14ac:dyDescent="0.2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</row>
    <row r="897" spans="1:13" ht="15.75" customHeight="1" x14ac:dyDescent="0.2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</row>
    <row r="898" spans="1:13" ht="15.75" customHeight="1" x14ac:dyDescent="0.2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</row>
    <row r="899" spans="1:13" ht="15.75" customHeight="1" x14ac:dyDescent="0.2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</row>
    <row r="900" spans="1:13" ht="15.75" customHeight="1" x14ac:dyDescent="0.2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</row>
    <row r="901" spans="1:13" ht="15.75" customHeight="1" x14ac:dyDescent="0.2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</row>
    <row r="902" spans="1:13" ht="15.75" customHeight="1" x14ac:dyDescent="0.2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</row>
    <row r="903" spans="1:13" ht="15.75" customHeight="1" x14ac:dyDescent="0.2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</row>
    <row r="904" spans="1:13" ht="15.75" customHeight="1" x14ac:dyDescent="0.2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</row>
    <row r="905" spans="1:13" ht="15.75" customHeight="1" x14ac:dyDescent="0.2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</row>
    <row r="906" spans="1:13" ht="15.75" customHeight="1" x14ac:dyDescent="0.2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</row>
    <row r="907" spans="1:13" ht="15.75" customHeight="1" x14ac:dyDescent="0.2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</row>
    <row r="908" spans="1:13" ht="15.75" customHeight="1" x14ac:dyDescent="0.2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</row>
    <row r="909" spans="1:13" ht="15.75" customHeight="1" x14ac:dyDescent="0.2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</row>
    <row r="910" spans="1:13" ht="15.75" customHeight="1" x14ac:dyDescent="0.2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</row>
    <row r="911" spans="1:13" ht="15.75" customHeight="1" x14ac:dyDescent="0.2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</row>
    <row r="912" spans="1:13" ht="15.75" customHeight="1" x14ac:dyDescent="0.2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</row>
    <row r="913" spans="1:13" ht="15.75" customHeight="1" x14ac:dyDescent="0.2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</row>
    <row r="914" spans="1:13" ht="15.75" customHeight="1" x14ac:dyDescent="0.2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</row>
    <row r="915" spans="1:13" ht="15.75" customHeight="1" x14ac:dyDescent="0.2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</row>
    <row r="916" spans="1:13" ht="15.75" customHeight="1" x14ac:dyDescent="0.2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</row>
    <row r="917" spans="1:13" ht="15.75" customHeight="1" x14ac:dyDescent="0.2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</row>
    <row r="918" spans="1:13" ht="15.75" customHeight="1" x14ac:dyDescent="0.2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</row>
    <row r="919" spans="1:13" ht="15.75" customHeight="1" x14ac:dyDescent="0.2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</row>
    <row r="920" spans="1:13" ht="15.75" customHeight="1" x14ac:dyDescent="0.2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</row>
    <row r="921" spans="1:13" ht="15.75" customHeight="1" x14ac:dyDescent="0.2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</row>
    <row r="922" spans="1:13" ht="15.75" customHeight="1" x14ac:dyDescent="0.2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</row>
    <row r="923" spans="1:13" ht="15.75" customHeight="1" x14ac:dyDescent="0.2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</row>
    <row r="924" spans="1:13" ht="15.75" customHeight="1" x14ac:dyDescent="0.2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</row>
    <row r="925" spans="1:13" ht="15.75" customHeight="1" x14ac:dyDescent="0.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</row>
    <row r="926" spans="1:13" ht="15.75" customHeight="1" x14ac:dyDescent="0.2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</row>
    <row r="927" spans="1:13" ht="15.75" customHeight="1" x14ac:dyDescent="0.2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</row>
    <row r="928" spans="1:13" ht="15.75" customHeight="1" x14ac:dyDescent="0.2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</row>
    <row r="929" spans="1:13" ht="15.75" customHeight="1" x14ac:dyDescent="0.2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</row>
    <row r="930" spans="1:13" ht="15.75" customHeight="1" x14ac:dyDescent="0.2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</row>
    <row r="931" spans="1:13" ht="15.75" customHeight="1" x14ac:dyDescent="0.2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</row>
    <row r="932" spans="1:13" ht="15.75" customHeight="1" x14ac:dyDescent="0.2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</row>
    <row r="933" spans="1:13" ht="15.75" customHeight="1" x14ac:dyDescent="0.2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</row>
    <row r="934" spans="1:13" ht="15.75" customHeight="1" x14ac:dyDescent="0.2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</row>
    <row r="935" spans="1:13" ht="15.75" customHeight="1" x14ac:dyDescent="0.2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</row>
    <row r="936" spans="1:13" ht="15.75" customHeight="1" x14ac:dyDescent="0.2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</row>
    <row r="937" spans="1:13" ht="15.75" customHeight="1" x14ac:dyDescent="0.2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</row>
    <row r="938" spans="1:13" ht="15.75" customHeight="1" x14ac:dyDescent="0.2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</row>
    <row r="939" spans="1:13" ht="15.75" customHeight="1" x14ac:dyDescent="0.2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</row>
    <row r="940" spans="1:13" ht="15.75" customHeight="1" x14ac:dyDescent="0.2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</row>
    <row r="941" spans="1:13" ht="15.75" customHeight="1" x14ac:dyDescent="0.2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</row>
    <row r="942" spans="1:13" ht="15.75" customHeight="1" x14ac:dyDescent="0.2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</row>
    <row r="943" spans="1:13" ht="15.75" customHeight="1" x14ac:dyDescent="0.2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</row>
    <row r="944" spans="1:13" ht="15.75" customHeight="1" x14ac:dyDescent="0.2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</row>
    <row r="945" spans="1:13" ht="15.75" customHeight="1" x14ac:dyDescent="0.2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</row>
    <row r="946" spans="1:13" ht="15.75" customHeight="1" x14ac:dyDescent="0.2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</row>
    <row r="947" spans="1:13" ht="15.75" customHeight="1" x14ac:dyDescent="0.2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</row>
    <row r="948" spans="1:13" ht="15.75" customHeight="1" x14ac:dyDescent="0.2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</row>
    <row r="949" spans="1:13" ht="15.75" customHeight="1" x14ac:dyDescent="0.2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</row>
    <row r="950" spans="1:13" ht="15.75" customHeight="1" x14ac:dyDescent="0.2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</row>
    <row r="951" spans="1:13" ht="15.75" customHeight="1" x14ac:dyDescent="0.2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</row>
    <row r="952" spans="1:13" ht="15.75" customHeight="1" x14ac:dyDescent="0.2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</row>
    <row r="953" spans="1:13" ht="15.75" customHeight="1" x14ac:dyDescent="0.2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</row>
    <row r="954" spans="1:13" ht="15.75" customHeight="1" x14ac:dyDescent="0.2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</row>
    <row r="955" spans="1:13" ht="15.75" customHeight="1" x14ac:dyDescent="0.2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</row>
    <row r="956" spans="1:13" ht="15.75" customHeight="1" x14ac:dyDescent="0.2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</row>
    <row r="957" spans="1:13" ht="15.75" customHeight="1" x14ac:dyDescent="0.2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</row>
    <row r="958" spans="1:13" ht="15.75" customHeight="1" x14ac:dyDescent="0.2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</row>
    <row r="959" spans="1:13" ht="15.75" customHeight="1" x14ac:dyDescent="0.2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</row>
    <row r="960" spans="1:13" ht="15.75" customHeight="1" x14ac:dyDescent="0.2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</row>
    <row r="961" spans="1:13" ht="15.75" customHeight="1" x14ac:dyDescent="0.2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</row>
    <row r="962" spans="1:13" ht="15.75" customHeight="1" x14ac:dyDescent="0.2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</row>
    <row r="963" spans="1:13" ht="15.75" customHeight="1" x14ac:dyDescent="0.2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</row>
    <row r="964" spans="1:13" ht="15.75" customHeight="1" x14ac:dyDescent="0.2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</row>
    <row r="965" spans="1:13" ht="15.75" customHeight="1" x14ac:dyDescent="0.2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</row>
    <row r="966" spans="1:13" ht="15.75" customHeight="1" x14ac:dyDescent="0.2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</row>
    <row r="967" spans="1:13" ht="15.75" customHeight="1" x14ac:dyDescent="0.2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</row>
    <row r="968" spans="1:13" ht="15.75" customHeight="1" x14ac:dyDescent="0.2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</row>
    <row r="969" spans="1:13" ht="15.75" customHeight="1" x14ac:dyDescent="0.2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</row>
    <row r="970" spans="1:13" ht="15.75" customHeight="1" x14ac:dyDescent="0.2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</row>
    <row r="971" spans="1:13" ht="15.75" customHeight="1" x14ac:dyDescent="0.2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</row>
    <row r="972" spans="1:13" ht="15.75" customHeight="1" x14ac:dyDescent="0.2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</row>
    <row r="973" spans="1:13" ht="15.75" customHeight="1" x14ac:dyDescent="0.2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</row>
    <row r="974" spans="1:13" ht="15.75" customHeight="1" x14ac:dyDescent="0.2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</row>
    <row r="975" spans="1:13" ht="15.75" customHeight="1" x14ac:dyDescent="0.2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</row>
    <row r="976" spans="1:13" ht="15.75" customHeight="1" x14ac:dyDescent="0.2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</row>
    <row r="977" spans="1:13" ht="15.75" customHeight="1" x14ac:dyDescent="0.2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</row>
    <row r="978" spans="1:13" ht="15.75" customHeight="1" x14ac:dyDescent="0.2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</row>
    <row r="979" spans="1:13" ht="15.75" customHeight="1" x14ac:dyDescent="0.2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</row>
    <row r="980" spans="1:13" ht="15.75" customHeight="1" x14ac:dyDescent="0.2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</row>
    <row r="981" spans="1:13" ht="15.75" customHeight="1" x14ac:dyDescent="0.2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</row>
    <row r="982" spans="1:13" ht="15.75" customHeight="1" x14ac:dyDescent="0.2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</row>
    <row r="983" spans="1:13" ht="15.75" customHeight="1" x14ac:dyDescent="0.2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</row>
    <row r="984" spans="1:13" ht="15.75" customHeight="1" x14ac:dyDescent="0.2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</row>
    <row r="985" spans="1:13" ht="15.75" customHeight="1" x14ac:dyDescent="0.2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</row>
    <row r="986" spans="1:13" ht="15.75" customHeight="1" x14ac:dyDescent="0.2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</row>
    <row r="987" spans="1:13" ht="15.75" customHeight="1" x14ac:dyDescent="0.2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</row>
    <row r="988" spans="1:13" ht="15.75" customHeight="1" x14ac:dyDescent="0.2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</row>
    <row r="989" spans="1:13" ht="15.75" customHeight="1" x14ac:dyDescent="0.2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</row>
    <row r="990" spans="1:13" ht="15.75" customHeight="1" x14ac:dyDescent="0.2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</row>
    <row r="991" spans="1:13" ht="15.75" customHeight="1" x14ac:dyDescent="0.2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</row>
    <row r="992" spans="1:13" ht="15.75" customHeight="1" x14ac:dyDescent="0.2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</row>
    <row r="993" spans="1:13" ht="15.75" customHeight="1" x14ac:dyDescent="0.2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</row>
    <row r="994" spans="1:13" ht="15.75" customHeight="1" x14ac:dyDescent="0.2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</row>
    <row r="995" spans="1:13" ht="15.75" customHeight="1" x14ac:dyDescent="0.2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</row>
    <row r="996" spans="1:13" ht="15.75" customHeight="1" x14ac:dyDescent="0.2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</row>
    <row r="997" spans="1:13" ht="15.75" customHeight="1" x14ac:dyDescent="0.2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</row>
    <row r="998" spans="1:13" ht="15.75" customHeight="1" x14ac:dyDescent="0.2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</row>
    <row r="999" spans="1:13" ht="15.75" customHeight="1" x14ac:dyDescent="0.25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</row>
    <row r="1000" spans="1:13" ht="15.75" customHeight="1" x14ac:dyDescent="0.25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</row>
    <row r="1001" spans="1:13" ht="15.75" customHeight="1" x14ac:dyDescent="0.25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</row>
    <row r="1002" spans="1:13" ht="15.75" customHeight="1" x14ac:dyDescent="0.25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</row>
    <row r="1003" spans="1:13" ht="15.75" customHeight="1" x14ac:dyDescent="0.25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</row>
    <row r="1004" spans="1:13" ht="15.75" customHeight="1" x14ac:dyDescent="0.25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</row>
    <row r="1005" spans="1:13" ht="15.75" customHeight="1" x14ac:dyDescent="0.25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</row>
  </sheetData>
  <mergeCells count="2">
    <mergeCell ref="A1:M3"/>
    <mergeCell ref="N1:N3"/>
  </mergeCells>
  <conditionalFormatting sqref="C39">
    <cfRule type="colorScale" priority="1">
      <colorScale>
        <cfvo type="min"/>
        <cfvo type="max"/>
        <color rgb="FFF8696B"/>
        <color rgb="FFFCFCFF"/>
      </colorScale>
    </cfRule>
  </conditionalFormatting>
  <conditionalFormatting sqref="D5:D38">
    <cfRule type="colorScale" priority="2">
      <colorScale>
        <cfvo type="min"/>
        <cfvo type="max"/>
        <color rgb="FFF8696B"/>
        <color rgb="FFFCFCFF"/>
      </colorScale>
    </cfRule>
  </conditionalFormatting>
  <conditionalFormatting sqref="F5:H38">
    <cfRule type="containsText" dxfId="0" priority="3" operator="containsText" text="ElectronicS">
      <formula>NOT(ISERROR(SEARCH(("ElectronicS"),(F5))))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LISNI</dc:creator>
  <cp:lastModifiedBy>lisniassis4@gmail.com</cp:lastModifiedBy>
  <dcterms:created xsi:type="dcterms:W3CDTF">2026-09-01T14:43:32Z</dcterms:created>
  <dcterms:modified xsi:type="dcterms:W3CDTF">2026-09-09T00:51:06Z</dcterms:modified>
</cp:coreProperties>
</file>